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чно 30.10" sheetId="1" r:id="rId5"/>
    <sheet state="visible" name="Дистант 29.10" sheetId="2" r:id="rId6"/>
  </sheets>
  <definedNames>
    <definedName hidden="1" localSheetId="0" name="_xlnm._FilterDatabase">'Очно 30.10'!$A$1:$S$34</definedName>
    <definedName hidden="1" localSheetId="1" name="_xlnm._FilterDatabase">'Дистант 29.10'!$A$1:$T$25</definedName>
  </definedNames>
  <calcPr/>
</workbook>
</file>

<file path=xl/sharedStrings.xml><?xml version="1.0" encoding="utf-8"?>
<sst xmlns="http://schemas.openxmlformats.org/spreadsheetml/2006/main" count="992" uniqueCount="585">
  <si>
    <t>ЯВКА</t>
  </si>
  <si>
    <t>Сколько баллов дали после обработки анкеты:
0 - не позвали на очное собеседование
1 - слабая анкета
2 - средняя анкета
3 - хорошая анкета</t>
  </si>
  <si>
    <t xml:space="preserve">Взяли ли в итоге кандидата в команду после очного собеседования?
</t>
  </si>
  <si>
    <t>Длительность пребывания в программе
в годах</t>
  </si>
  <si>
    <t xml:space="preserve">Еще состоит в программе?
</t>
  </si>
  <si>
    <t xml:space="preserve">Активность в часах в год:
До 10 часаов - мало
10-30 часов - средний
Более 30 часов - отлично
</t>
  </si>
  <si>
    <t>Дата рождения</t>
  </si>
  <si>
    <t>ВУЗ</t>
  </si>
  <si>
    <t>Факультет</t>
  </si>
  <si>
    <t>Курс</t>
  </si>
  <si>
    <t>Кафедра</t>
  </si>
  <si>
    <t>Сфера научных интересов</t>
  </si>
  <si>
    <t>Опыт работы, стажировки, участие в проектах и т.д. (если имеется)</t>
  </si>
  <si>
    <t>Владение иностранными языками (отмечать только начиная с уровня  B1 и выше)</t>
  </si>
  <si>
    <t xml:space="preserve">Интересующие виды волонтёрства
</t>
  </si>
  <si>
    <t>Чего Вы ожидаете от волонтерства в Историческом музее?</t>
  </si>
  <si>
    <t>ФИО</t>
  </si>
  <si>
    <t>Ваше хобби</t>
  </si>
  <si>
    <t>В чем Ваша суперсила?</t>
  </si>
  <si>
    <t>Откуда Вы узнали о наборе</t>
  </si>
  <si>
    <t>да</t>
  </si>
  <si>
    <t>ДА</t>
  </si>
  <si>
    <t>—</t>
  </si>
  <si>
    <t>04.05.2005</t>
  </si>
  <si>
    <t xml:space="preserve">Федоряка Ярослава Олеговна </t>
  </si>
  <si>
    <t>ГАПОУ КП№11</t>
  </si>
  <si>
    <t>09.02.2005</t>
  </si>
  <si>
    <t xml:space="preserve">Туризм </t>
  </si>
  <si>
    <t>НИУ ВШЭ</t>
  </si>
  <si>
    <t>Факультет Гуманитарных Наук</t>
  </si>
  <si>
    <t>4 курс бак</t>
  </si>
  <si>
    <t>-</t>
  </si>
  <si>
    <t>3 курс бак</t>
  </si>
  <si>
    <t xml:space="preserve">Культурология </t>
  </si>
  <si>
    <t xml:space="preserve">История культуры повседневности, история городов, Европа XIX в., мужское/женское в культуре </t>
  </si>
  <si>
    <t>Туризм</t>
  </si>
  <si>
    <t xml:space="preserve">· Волонтёрство на выставке современного русского искусства Трын*Трава
· Волонтёрство и прохождение практики в галереи Ruarts
· Работа на ВДНХ в павильоне выставочной экспозиции "Робостанция"
</t>
  </si>
  <si>
    <t xml:space="preserve">Проходила практику в гостинице космос, где работала с CRM системой и документами, еще был опыт практики в ГБУ 'Лаборатория Путешествий', там я сопровождала и занималась с группой детей-подростков, а так же проводила мероприятия. Еще у меня есть опыт волонтёрства в т. ч. в Общественной Палате РФ где я помогала организовать вручение наград. </t>
  </si>
  <si>
    <t>Английский язык</t>
  </si>
  <si>
    <t>Организация и проведение мероприятий, Проектная работа</t>
  </si>
  <si>
    <t>Организация и проведение мероприятий, Проектная работа, Фондовая работа, Инклюзивное волонтерство</t>
  </si>
  <si>
    <t>Прежде всего мечтаю стать частью общей деятельности музея, посмотреть, как он живёт и работает, а также познакомиться с людьми, которые создают ГИМ</t>
  </si>
  <si>
    <t xml:space="preserve">Обожаю рисовать, а также читаю и вышиваю, люблю устраивать велопрогулки </t>
  </si>
  <si>
    <t xml:space="preserve">Ожидаю получить интересный опыт волонтёрства, узнать что-то новое об истории, пообщаться с новыми людьми и просто занимательно провести время :) </t>
  </si>
  <si>
    <t>В дружелюбии!</t>
  </si>
  <si>
    <t xml:space="preserve">Рисование, чтение, изучение английского, готовка </t>
  </si>
  <si>
    <t>Социальные сети</t>
  </si>
  <si>
    <t xml:space="preserve">Очень хорошо общаюсь с животными </t>
  </si>
  <si>
    <t>Рекомендации друзей</t>
  </si>
  <si>
    <t xml:space="preserve">да
</t>
  </si>
  <si>
    <t xml:space="preserve">Бурлуцкая Александра Евгеньевна </t>
  </si>
  <si>
    <t>19.07.2004</t>
  </si>
  <si>
    <t>11.04.2001</t>
  </si>
  <si>
    <t>Факультет социальных наук</t>
  </si>
  <si>
    <t>РГУ им. Косыгина</t>
  </si>
  <si>
    <t>Искусств</t>
  </si>
  <si>
    <t>Социология</t>
  </si>
  <si>
    <t>Социология в целом, культурология, аналитика, методы социологических исследований, статистика</t>
  </si>
  <si>
    <t>1 курс маг</t>
  </si>
  <si>
    <t>Реставрации и химической обработки материалов</t>
  </si>
  <si>
    <t>Востоковедения, Древний Восток, русско-японские отношения</t>
  </si>
  <si>
    <t>Мне хотелось бы получить опыт музейного волонтерства и развить свои организационные и коммуникационные навыки, а также параллельно узнать больше о самом музее и исторических данных, которые он содержит</t>
  </si>
  <si>
    <t>Работаю в РГАЛИ, волонтерство на фестивале современного искусства Artlife</t>
  </si>
  <si>
    <t>Чтение, программирование, компьютерные игры</t>
  </si>
  <si>
    <t>Я очень отвественный человек! При любом задании стемлюсь выложиться на максимум и выполнить работу в нужный срок.</t>
  </si>
  <si>
    <t>Фондовая работа (археология, мебель, рукописи)
Проектная</t>
  </si>
  <si>
    <t>Сайт Исторического музея</t>
  </si>
  <si>
    <t>Получить опыт работы с историческим материалом, понимание процессов работы музея</t>
  </si>
  <si>
    <t>Чтение, творчество (шитье, вязание и многое другое)</t>
  </si>
  <si>
    <t xml:space="preserve">Усидчивость (могу долго сидеть и скрупулезно решать задачу) и чувство юмора </t>
  </si>
  <si>
    <t>Луконина Екатерина Александровна</t>
  </si>
  <si>
    <t>30.11.1984</t>
  </si>
  <si>
    <t xml:space="preserve">НИУ ВШЭ </t>
  </si>
  <si>
    <t>09.07.2001</t>
  </si>
  <si>
    <t>Школа иностранных языков</t>
  </si>
  <si>
    <t>Московский государственный университет имени М.В. Ломоносова</t>
  </si>
  <si>
    <t>обучаюсь по программе ДПО "Переводчик в сфере профессиональной коммуникации"</t>
  </si>
  <si>
    <t>Исторический</t>
  </si>
  <si>
    <t>Перевод с английского и итальянского языков</t>
  </si>
  <si>
    <t>Кафедра источниковедения</t>
  </si>
  <si>
    <t xml:space="preserve">Журналист по первому образованию, имею большой опыт работы с текстами - написание, редактирование, перевод и пр. В данный момент учусь на переводчика с английского языка, опыт перевода научно-популярных текстов с английского языка имею. </t>
  </si>
  <si>
    <t>Последствия Отечественной войны 1812 г. в региональном измерении; Революционные события в России 1917 г. в документах личного происхождения; история повседневности</t>
  </si>
  <si>
    <t>Английский язык, Итальянский язык</t>
  </si>
  <si>
    <t>Опыт работы с 2020 г. по настоящее время. В качестве волонтера принимала участие в благотворительной новогодней елке в музее архитектуры имени А.В. Щусева. На данный момент принимаю участие в фестивале "Россия многоликая" как волонтер</t>
  </si>
  <si>
    <t>Организация и проведение мероприятий, Проектная работа, Фондовая работа
ИНКЛЮЗИЯ ГОТОВА</t>
  </si>
  <si>
    <t xml:space="preserve">Мне бы хотелось принять участие в международной деятельности музея, поскольку я учусь на переводчика (английский и итальянский языки). Это может быть работа с текстами на иностранных языках, а также сопровождение иностранных гостей в музее и пр. </t>
  </si>
  <si>
    <t xml:space="preserve">Походы выходного дня, изучение истории, краеведение, изучение иностранных языков. </t>
  </si>
  <si>
    <t xml:space="preserve">Будучи мамой троих детей я отлично умею работать в режиме многозадачности:) </t>
  </si>
  <si>
    <r>
      <rPr>
        <rFont val="Arial"/>
        <color theme="1"/>
      </rPr>
      <t xml:space="preserve">Организация и проведение мероприятий, </t>
    </r>
    <r>
      <rPr>
        <rFont val="Arial"/>
        <b/>
        <color theme="1"/>
      </rPr>
      <t>Инклюзивное волонтерство</t>
    </r>
  </si>
  <si>
    <t>Поскольку я обучаюсь на историческом факультете, то волонтерство в Историческом музее позволит получить ценный опыт, погрузиться в музейную деятельность и оказать помощь посетителям</t>
  </si>
  <si>
    <t>даааа</t>
  </si>
  <si>
    <t>Увлекаюсь историей, предпочитаю посещать различные театры, музеи и люблю путешествовать</t>
  </si>
  <si>
    <t>В упорстве и терпеливости, а также в умении быстро осваивать и изучать большой поток информации</t>
  </si>
  <si>
    <t>Тришина Екатерина Сергеевна</t>
  </si>
  <si>
    <t>28.06.2003</t>
  </si>
  <si>
    <t>09.03.2006</t>
  </si>
  <si>
    <t>Факультет гуманитарных наук</t>
  </si>
  <si>
    <t xml:space="preserve"> РГГУ</t>
  </si>
  <si>
    <t xml:space="preserve">Исторический факультет. </t>
  </si>
  <si>
    <t>1 курс бак</t>
  </si>
  <si>
    <t>История</t>
  </si>
  <si>
    <t>Мезоамериканский центр РГГУ им. Ю.В. Кнорозова</t>
  </si>
  <si>
    <t>История женской моды Российской империи второй половины 18 - начала 19 века</t>
  </si>
  <si>
    <t xml:space="preserve">Латинская Америка в годы холодной войны. История Аргентины. </t>
  </si>
  <si>
    <t>С апреля по июль август 2024 работала в галерее современного искусства HSE ART GALLERY в качестве продюсера выставочных проектов - осуществляла коммуникацию с художниками и подрядчиками, вела выставочную документацию и осуществляла оформление соцсетей и сайта.</t>
  </si>
  <si>
    <t xml:space="preserve">Недавно вступил в СНО </t>
  </si>
  <si>
    <t>Английский язык, Испанский язык</t>
  </si>
  <si>
    <t>Фондовая работа</t>
  </si>
  <si>
    <t>Организация и проведение мероприятий, Фондовая работа
Инклюзия</t>
  </si>
  <si>
    <r>
      <rPr>
        <rFont val="Arial"/>
        <color theme="1"/>
      </rPr>
      <t xml:space="preserve">Хочу получить прикладной опыт работы с коллекцией музея (основной экспозицией), а также с временными выставками. </t>
    </r>
    <r>
      <rPr>
        <rFont val="Arial"/>
        <color rgb="FFB6D7A8"/>
      </rPr>
      <t>На временных выставках работы нет</t>
    </r>
  </si>
  <si>
    <t>Получить опыт работы в музее. Открыть для себя эту сферу карьеры.</t>
  </si>
  <si>
    <t>Чтение</t>
  </si>
  <si>
    <t>Играю на пианино. Раньше занимался плаванием. Испанский активно учу</t>
  </si>
  <si>
    <t>В супер-организованности и крутом тайм-менеджменте</t>
  </si>
  <si>
    <t xml:space="preserve">Наверное, в стремление к познанию. Пока сложно ответить на этот вопрос </t>
  </si>
  <si>
    <t>даааа
ДОБАВИТЬ В ВК</t>
  </si>
  <si>
    <t>Ильина Александра Евгеньевна</t>
  </si>
  <si>
    <t>20.06.1998</t>
  </si>
  <si>
    <t>05.08.2000</t>
  </si>
  <si>
    <t>Национальный Университет Имени Каподистрия</t>
  </si>
  <si>
    <t>РГУ им. А.Н. Косыгина</t>
  </si>
  <si>
    <t xml:space="preserve">СМИ и коммуникации </t>
  </si>
  <si>
    <t>Изящные искусства</t>
  </si>
  <si>
    <t xml:space="preserve">Завершила обучение в магистратуре в июле 2024 г. </t>
  </si>
  <si>
    <t xml:space="preserve">Экономики </t>
  </si>
  <si>
    <t xml:space="preserve">Кафедра искусствоведения </t>
  </si>
  <si>
    <t xml:space="preserve">Музеология, регулирования фейковых новостей, стратегическое развитие, маркетинг, диджитал маркетинг </t>
  </si>
  <si>
    <t xml:space="preserve">История российской, европейской и восточноазиатской живописи и декоративно-прикладного искусства; история костюма и дизайна </t>
  </si>
  <si>
    <t xml:space="preserve">Стажировка в библиотеке им. Чавайна г. Йошкар-Ола 2016. Волонтер русского-греческого форума г. Афины 2016. Стажировка в компании SoftBiz позиция директор по маркетингу г. Афины, 2023. Участие в мероприятиях проводимых Посольством Российской Федерации на территории Греции 2016-2024. Руководитель проекта Волонтеры Победы г. Афины с 2019-2022. Член Координационного Совета Соотечественников , Греция 2019-наст время. </t>
  </si>
  <si>
    <t>К настоящему моменту я имею опыт исследовательской работы и публикации статей в сборниках всероссийских научных конференций и трудах кафедры искусствоведения РГУ им. А.Н. Косыгина по книжной миниатюре и дизайну костюма Древней Руси, а также стран Европы и Восточной Азии. За время обучения и производственной практики мною также был получен опыт работы с архивной документацией и освоены инструменты для работы с текстовыми и графическими материалами</t>
  </si>
  <si>
    <t>Английский язык, Греческий В2 , Английский С2</t>
  </si>
  <si>
    <r>
      <rPr>
        <rFont val="Arial"/>
        <color theme="1"/>
      </rPr>
      <t xml:space="preserve">Организация и проведение мероприятий, Проектная работа, Фондовая работа, </t>
    </r>
    <r>
      <rPr>
        <rFont val="Arial"/>
        <b/>
        <color theme="1"/>
      </rPr>
      <t>Инклюзивное волонтерство</t>
    </r>
  </si>
  <si>
    <r>
      <rPr>
        <rFont val="Arial"/>
        <color theme="1"/>
      </rPr>
      <t xml:space="preserve">Организация и проведение мероприятий, </t>
    </r>
    <r>
      <rPr>
        <rFont val="Arial"/>
        <b/>
        <color theme="1"/>
      </rPr>
      <t>Проектная работа,</t>
    </r>
    <r>
      <rPr>
        <rFont val="Arial"/>
        <color theme="1"/>
      </rPr>
      <t xml:space="preserve"> Фондовая работа</t>
    </r>
  </si>
  <si>
    <t xml:space="preserve">Получение знаний о работе музея в вопросе реставрации и консервации музейного архива </t>
  </si>
  <si>
    <t>Возможность получить опыт работы в профессиональном сообществе и реализовать полученные в университете навыки</t>
  </si>
  <si>
    <t xml:space="preserve">Пишу картины, арт-диллерство, проект по искусству в Афинах </t>
  </si>
  <si>
    <r>
      <rPr>
        <rFont val="Arial"/>
        <color rgb="FF6AA84F"/>
      </rPr>
      <t>Фотография</t>
    </r>
    <r>
      <rPr>
        <rFont val="Arial"/>
        <color theme="1"/>
      </rPr>
      <t xml:space="preserve">, история моды и рисование </t>
    </r>
  </si>
  <si>
    <t xml:space="preserve">Коммуникации </t>
  </si>
  <si>
    <t>В качестве своих hard skills могу отметить продвинутый уровень пользования ПК, программами MS Оffice и Google Workspace; soft skills – умение работать с большим количеством информации, в частности на английском языке, коммуникабельность и мультизадачность</t>
  </si>
  <si>
    <t>22/07/2004</t>
  </si>
  <si>
    <t>Грин Виктория Викторовна</t>
  </si>
  <si>
    <t>Российский государственный гуманитарный университет (РГГУ)</t>
  </si>
  <si>
    <t>13.07.1983</t>
  </si>
  <si>
    <t xml:space="preserve">Факультет истории искусств </t>
  </si>
  <si>
    <t>НГЛУ им Добролюбова, КФУ</t>
  </si>
  <si>
    <t>Факультет немецкого языка. Переводческий факультет. Курсы экскурсоводов</t>
  </si>
  <si>
    <t>Закончила вуз</t>
  </si>
  <si>
    <t>Кафедра музеологии</t>
  </si>
  <si>
    <t xml:space="preserve">Кафедра иностранных языков </t>
  </si>
  <si>
    <t>Период правление Александра I, Отечественная война 1812 года, декабристы, история военного дела Российской Империи в XIX веке.</t>
  </si>
  <si>
    <t>История. Лингвистика. Религиоведение. Топонимика</t>
  </si>
  <si>
    <t xml:space="preserve">2016-2020 г. — участие в олимпиаде "Музеи. Парки. Усадьбы"
2020-2021 г. — участие во Всероссийской Олимпиаде Школьников по истории
2021 г. — школьный выпускной проект на тему «Движение декабристов и его влияние на революционное движение XIX – начала XX века»
июль 2023-февраль2024 гг.  — камеральная работа на археологическом объекте, в частности первичная работа с предметами индивидуального значения 
октябрь 2024 г. — участие в составление квеста «Растим науку вместе» в рамках Всероссийского фестиваля НАУКА на территории РГГУ 12-13 октября 2024г. </t>
  </si>
  <si>
    <t>Переводчик, преподаватель, экскурсовод</t>
  </si>
  <si>
    <t>Немецкий язык (переводчик)</t>
  </si>
  <si>
    <t>Организация и проведение мероприятий, Проектная работа, Фондовая работа</t>
  </si>
  <si>
    <t>Проектная работа (квесты) , Фондовая работа (археология мебель (квест))</t>
  </si>
  <si>
    <t xml:space="preserve">Сопричастность к деятельности музея, новый опыт, общение, развитие в этой сфере в будущем </t>
  </si>
  <si>
    <t>С детства мне всегда нравилось ходить по музеям и представлять, как я буду в будущем работать в сфере культуры. Изначально я хотела стать историком, но выбрала специальность, связанную с музеями, так как мне хотелось больше творчества в своей профессии. Волонтерство в Историческом музее я рассматриваю как возможность прикоснуться к истории и внести свой вклад в развитие музея. Помимо этого, волонтерство для меня - это как возможность изучить внутреннюю структуру работы музея, которая в дальнейшем может пригодиться в исследовательских проектах. Мой выбор пал именно на Исторический музей, так как я считаю, что музей позволяет широкому кругу лиц раскрыть свой потенциал в различных направлениях, связанным с широким историческим отрезком времени, что позволяет каждому найти тему, которая будет близка именно ему. Поскольку мои научные интересы связаны с Отечественной войной 1812 г., мне будет интересно поработать в структуре этого отдела, чтобы еще больше углубиться в данную тему. Также волонтерство в музее предоставляет отличную возможность найти единомышленников, которые, как и ты, заинтересован в работе над сохранением общей культуры.</t>
  </si>
  <si>
    <t>Изучение истории, изучение иностранных языков, посещение музеев, выставок, чтение</t>
  </si>
  <si>
    <t xml:space="preserve">Умение находить общий язык с разными людьми. Желание и умение систематизировать информацию </t>
  </si>
  <si>
    <t>На данный момент моим хобби является изучение нидерландского языка</t>
  </si>
  <si>
    <t xml:space="preserve">Из всех качеств, которые присутствуют во мне, как свою суперсилу, я бы выделила стрессоустойчивость. За годы, проведенные в университете, я смогла выработать стратегию, которая позволяет оставаться позитивной и продуктивной, несмотря на большое количество работы и стресса. Помимо этого, я бы выделила способность работать как в команде, так и самостоятельно. Могу наладить контакт с разными людьми, что мне позволяет в жизни быть более коммуникативной и открытой для новых знакомств, вследствие чего работа в команде идет намного проще. Я с большой ответственностью подхожу к той работе, что возлагается на меня. Еще, как отмечают окружающие вокруг меня люди, все, что рассказываю им, связанное с историей или музеями, я преподношу на понятом и интересном языке. </t>
  </si>
  <si>
    <t>Шабанова Полина Сергеевна</t>
  </si>
  <si>
    <t>28.07.2002</t>
  </si>
  <si>
    <t>24/04/2001</t>
  </si>
  <si>
    <t xml:space="preserve">Факультет гуманитарных наук </t>
  </si>
  <si>
    <t>Античность</t>
  </si>
  <si>
    <t>2 курс маг</t>
  </si>
  <si>
    <t>История Византии, Скандинавии, Древней Руси, Древней Греции, Рима, мифология, история искусств</t>
  </si>
  <si>
    <t xml:space="preserve">Академическая программа </t>
  </si>
  <si>
    <t>Я являюсь волонтером в НИУ ВШЭ, в Пушкинском музее (более 2-х лет), в Третьяковской галерее. Также я проходила стажировку в Пушкинском музее. Участвовала в проекте по созданию комментария по Евангелию от Марка.</t>
  </si>
  <si>
    <t>Археология Южного Причерноморья; археология Суздальского Ополья</t>
  </si>
  <si>
    <t>Английский язык, Испанский язык, Греческий (B1), Норвежский (А2), Немецкий (А2), Английский С1 (имеется сертификат IELTS)</t>
  </si>
  <si>
    <t xml:space="preserve">2,5 года опыт работы менеджером образовательных проектов (MDS; BBE), участие в проектах по черчению и обработке цифрового материала в лаборатории RSSDA </t>
  </si>
  <si>
    <t>Английский язык, Китайский язык</t>
  </si>
  <si>
    <t xml:space="preserve">Я ожидаю, что будет много возможностей пообщаться с единомышленниками, углубиться в интересующие меня исторические темы, и,  конечно, помочь посетителям получить максимум удовольствия от нахождения в Государственном историческом музее. </t>
  </si>
  <si>
    <t xml:space="preserve">В данный момент я изучаю норвежский язык, изучаю историю и мифологию Скандинавии. Также я интересуюсь историей кино и археологией. Люблю рисовать, играть на укулеле, смотреть фильмы на историческую тематику. </t>
  </si>
  <si>
    <t xml:space="preserve">- Получения опыта фондовой работы с музейными коллекциями (в первую очередь и по возможности (в связи с научными интересами) с античными коллекциями и финно-угорской коллекцией) в целях дальнейшего потенциальной работы с реальными коллекциями и материалом. 
- Приобретения навыков и опыта организации и проведения образовательных и просветительских мероприятий на базе музея. 
- Расширения понимания структуры и специфики образовательной и фондовой музейной работы.
- Участия в организации в инклюзивных, общественно полезных мероприятиях и проектах. 
- Узнать, как я могу применить полученные ранее навыки и опыт в сфере археологии, дизайна, менеджмента и юриспруденции (имею оконченный бакалавриат по данной специальности) в рамках музейной деятельности. 
- Знакомства с интересными и интересующимися работниками, посетителями и волонтерами музея! </t>
  </si>
  <si>
    <t>Я очень ответственный и понимающий человек. Всегда соблюдаю дедлайны и умею делегировать дела.</t>
  </si>
  <si>
    <t>Верстаю зины, делаю коллажи, читаю статьи о современной музыке, изучение векторной графики</t>
  </si>
  <si>
    <t xml:space="preserve">Внимании и скрупулезности, менеджменте проектов и конечно коммуникации! Могу найти подход почти к любому человеку! </t>
  </si>
  <si>
    <t>Кожанова Светлана Николаевна</t>
  </si>
  <si>
    <t>25.03.1976</t>
  </si>
  <si>
    <t>11.07.2005</t>
  </si>
  <si>
    <t>Центр подготовки туристических кадров</t>
  </si>
  <si>
    <t>Колледж предпринимательства №11</t>
  </si>
  <si>
    <t>Гид- экскурсовод</t>
  </si>
  <si>
    <t>У меня есть высшее техническое образование и плюс я сейчас учусь в Центре подготовки туристических кадров</t>
  </si>
  <si>
    <t>Четвертый курс учреждения СПО</t>
  </si>
  <si>
    <t>Гид - экскурсовод</t>
  </si>
  <si>
    <t>История, религиоведение</t>
  </si>
  <si>
    <t>Туризм, история, обществознание, культура, иностранные языки, социология, маркетинг, урбанистика.</t>
  </si>
  <si>
    <t>Полуфиналист всероссийского конкурса "Большая перемена", стажировка в ГБУ "Лаборатория путешествий", опыт работы сборщиком онлайн-заказов, опыт работы промоутером, победитель I степени олимпиады по английскому языку «English Vocabulary», победитель I открытой научно-практической конференции "Экспедиционный корпус: Исследуем город", победитель Международной культурно-образовательной акции "Total English", победитель Литературного конкурса чтецов на иностранных языках "Поэтический салон" 2023/2024.</t>
  </si>
  <si>
    <r>
      <rPr>
        <rFont val="Arial"/>
        <color theme="1"/>
      </rPr>
      <t xml:space="preserve">Организация и проведение мероприятий, Проектная работа, Фондовая работа, </t>
    </r>
    <r>
      <rPr>
        <rFont val="Arial"/>
        <color rgb="FF93C47D"/>
      </rPr>
      <t>Инклюзивное волонтерство</t>
    </r>
  </si>
  <si>
    <t>Получить суперинтересный и полезный опыт</t>
  </si>
  <si>
    <t>Проектная работа, Фондовая работа, Инклюзивное волонтерство</t>
  </si>
  <si>
    <t>Путешествия, история</t>
  </si>
  <si>
    <t>В умении находить общий язык с разными людьми</t>
  </si>
  <si>
    <t>Ожидаю получить новый опыт, навыки, знания и знакомства, вдобавок погружения в историю России. Хочу принять участие в развитии музея, а также взглянуть на музей «изнутри», стать частью организации.</t>
  </si>
  <si>
    <t>География, лингвистика, шахматы, литература, кино, политология, философия, мода, менеджмент</t>
  </si>
  <si>
    <t xml:space="preserve">Стрессоустойчивость, быстрое принятие решений, неконфликтность, готовность работать на результат, укладываться в сроки, любознательность, открытость, </t>
  </si>
  <si>
    <t xml:space="preserve">да </t>
  </si>
  <si>
    <t>Коваль Мария Олеговна</t>
  </si>
  <si>
    <t>05.07.2003</t>
  </si>
  <si>
    <t>МГУ им. М.В. Ломоносова</t>
  </si>
  <si>
    <t>История общественных движений и политических партий</t>
  </si>
  <si>
    <t>09.10.2002</t>
  </si>
  <si>
    <t>Русская эмиграция "первой волны"</t>
  </si>
  <si>
    <t xml:space="preserve">Работа администратором фитнес-клуба, работа хостес, практика в Доме русского зарубежья имени А. Солженицына, опыт организации художественных выставок, </t>
  </si>
  <si>
    <t>5 курс бак</t>
  </si>
  <si>
    <t>Английский язык, Немецкий язык, Итальянский язык</t>
  </si>
  <si>
    <t xml:space="preserve"> ОП "История" (у нас нет системы кафедр)</t>
  </si>
  <si>
    <r>
      <rPr>
        <rFont val="Arial"/>
        <color theme="1"/>
      </rPr>
      <t xml:space="preserve">Организация и проведение мероприятий, Проектная работа, Фондовая работа, </t>
    </r>
    <r>
      <rPr>
        <rFont val="Arial"/>
        <b/>
        <color theme="1"/>
      </rPr>
      <t>Инклюзивное волонтерство</t>
    </r>
  </si>
  <si>
    <t xml:space="preserve">Россия XVII-XVIII веков, история двора, история элит, политическая история, </t>
  </si>
  <si>
    <t xml:space="preserve">Возможность поучаствовать в работе музея, проведении выставок и организации мероприятий. Завести новые знакомства и стать частью команды Исторического музея. </t>
  </si>
  <si>
    <t>Спорт, посещение культурных мероприятий, музеев исторической тематики</t>
  </si>
  <si>
    <t xml:space="preserve">– Работа райтером и фактчекером на научно-популярном канале об истории на YouTube (подготовка материалов, написание научно-популярных текстов)
– Волонтерство в организации конференций на базе Центра истории России Нового времени НИУ ВШЭ (встреча и сопровождение гостей, подготовка помещений, решение оперативных вопросов)
– Музейная практика в музее "Огни Москвы" (проведение экскурсий, знакомство с экспозицией и интерактивными инструментами музея, помощь сотрудникам в проведении мастер-классов)
– Работа учебным ассистентом (коммуникация со студентами, проверка работ по дедлайнам, ведение отчетности
</t>
  </si>
  <si>
    <t>Трудолюбие и дисциплина, внимание к деталям</t>
  </si>
  <si>
    <t>Полезных навыков для потенциальной карьеры в музейной сфере, нетворкинг, улучшение "гибких навыков", практика работы в сфере публичной истории</t>
  </si>
  <si>
    <t>Чтение, музыка, кино и сериалы, коллекционирование открыток, воображаемая картография</t>
  </si>
  <si>
    <t>умею делать работу точно и качественно, и при этом отлично поладить в команде</t>
  </si>
  <si>
    <t xml:space="preserve">Шахнина Арина Степановна </t>
  </si>
  <si>
    <t xml:space="preserve">да
</t>
  </si>
  <si>
    <t>20.09.2003</t>
  </si>
  <si>
    <t>Финансовый университет при Правительстве РФ</t>
  </si>
  <si>
    <t xml:space="preserve">Юридический </t>
  </si>
  <si>
    <t xml:space="preserve">Международное право </t>
  </si>
  <si>
    <t xml:space="preserve">Регулирование оборота культурных ценностей на международном рынке </t>
  </si>
  <si>
    <t xml:space="preserve">помогала в организации и проведении выставки </t>
  </si>
  <si>
    <t xml:space="preserve">Опыты и новых  знаний </t>
  </si>
  <si>
    <t xml:space="preserve">Чтение и вязание </t>
  </si>
  <si>
    <t xml:space="preserve">В логическом мышлении </t>
  </si>
  <si>
    <t>28.09.2001</t>
  </si>
  <si>
    <t xml:space="preserve">МГУ имени М.В. Ломоносова </t>
  </si>
  <si>
    <t xml:space="preserve">Исторический </t>
  </si>
  <si>
    <t xml:space="preserve">Закончила бакалавриат в этом году </t>
  </si>
  <si>
    <t xml:space="preserve">История России до начала XIX века </t>
  </si>
  <si>
    <t xml:space="preserve">Предпринимательство в сфере развлечений, театры, развлечения второй половины XVIII века  </t>
  </si>
  <si>
    <t>Климова Анастасия Игоревна</t>
  </si>
  <si>
    <t>26.05.1983</t>
  </si>
  <si>
    <t xml:space="preserve">Ожидаю получения интересного и полезного опыта, а также более близкого знакомства с историческим музеем </t>
  </si>
  <si>
    <t>МГТУ Станкин, ВШЭ</t>
  </si>
  <si>
    <t xml:space="preserve">Написание рассказов, рисование, творчество </t>
  </si>
  <si>
    <t>Экономический,  История искусств</t>
  </si>
  <si>
    <t xml:space="preserve">В доброте и исполнительности </t>
  </si>
  <si>
    <t>Успешно окончен специалитет и переподготовка</t>
  </si>
  <si>
    <t>Кафедра экономики и управления предприятием</t>
  </si>
  <si>
    <t>История игрушки и предметов быта</t>
  </si>
  <si>
    <r>
      <rPr>
        <rFont val="Arial"/>
        <color theme="1"/>
      </rPr>
      <t xml:space="preserve">Организация и проведение мероприятий, Проектная работа, Фондовая работа, </t>
    </r>
    <r>
      <rPr>
        <rFont val="Arial"/>
        <b/>
        <color theme="1"/>
      </rPr>
      <t>Инклюзивное волонтерство</t>
    </r>
  </si>
  <si>
    <t>Интересную, насыщенную, культурную жизнь</t>
  </si>
  <si>
    <t>Изучение и создание игрушки, декорирование интерьера</t>
  </si>
  <si>
    <t>Внимание к деталям</t>
  </si>
  <si>
    <t>15.04.2005</t>
  </si>
  <si>
    <t>2 курс бак</t>
  </si>
  <si>
    <t xml:space="preserve">Шарова Полина Александровна </t>
  </si>
  <si>
    <t>Образовательная программа «История» (у нас нет деления на кафедры)</t>
  </si>
  <si>
    <t>26.03.2004</t>
  </si>
  <si>
    <t>Нумизматика, мусульмане в СССР, история идей в XIX веке</t>
  </si>
  <si>
    <t xml:space="preserve">МГУ имени М. В. Ломоносова </t>
  </si>
  <si>
    <t xml:space="preserve">Работала вожатой два летних сезона на международном детском  творчеством проекте Nuclearkids </t>
  </si>
  <si>
    <t xml:space="preserve">Факультет политологии </t>
  </si>
  <si>
    <t>Я ожидаю возможности внести вклад в сохранение культурного наследия и популяризацию истории. Хотелось бы участвовать в организации различных мероприятий, образовательных программ, общаться с посетителями и помогать им лучше понять исторические события/экспонаты. Также ценно было бы получить новые знания и навыки, поработать в команде единомышленников в таком значимом месте. Кроме того, это отличный способ познакомиться с моей специальностью на практике и погрузиться в атмосферу музейной работы.</t>
  </si>
  <si>
    <t xml:space="preserve">Истории и теории политики </t>
  </si>
  <si>
    <t xml:space="preserve">Картины по номерами, спорт и чтение художественной литературы </t>
  </si>
  <si>
    <t xml:space="preserve">Memory studies, историческая политика </t>
  </si>
  <si>
    <t xml:space="preserve">Спокойствие и тактичность, умею не суетиться и решать проблемы поочередно  </t>
  </si>
  <si>
    <t>Состою в научном студенческом обществе факультета (пишу тексты, организовываю мероприятия)</t>
  </si>
  <si>
    <t>Мне думается, что музей — уникальное пространство, хранящее в себе множество интересностей, поэтому ожидаю впечатлений и открытий</t>
  </si>
  <si>
    <t>Еще с детства занимаюсь изобразительными искусствами (пишу картины, создаю дизайн для плакатов, фотографирую)</t>
  </si>
  <si>
    <t>Умею мыслить и творить)</t>
  </si>
  <si>
    <t>21.07.98</t>
  </si>
  <si>
    <t>РГГУ</t>
  </si>
  <si>
    <t>международный менеджмент</t>
  </si>
  <si>
    <t>выпуск 2023</t>
  </si>
  <si>
    <t>Панова Дарья Викторовна</t>
  </si>
  <si>
    <t>управления</t>
  </si>
  <si>
    <t>17.01.2003</t>
  </si>
  <si>
    <t>история, искусство, менеджмент, оптимизация процессов</t>
  </si>
  <si>
    <t>МГУ имени М. В. Ломоносова</t>
  </si>
  <si>
    <t>Есть опыт работы волонтером на арт-маркете ГНЕЗДО. В мои обязанности входило: 
• Коммуникация с посетителями мероприятия;
• Помощь с реквизитом;
• Подготовка помещений (зона отдыха/ кафетерий) для волонтеров и других сотрудников
мероприятия;
• Помощь с распределением питания на площадке;
• Проверка билетов</t>
  </si>
  <si>
    <t>Филологический факультет</t>
  </si>
  <si>
    <r>
      <rPr>
        <rFont val="Arial"/>
        <color theme="1"/>
      </rPr>
      <t xml:space="preserve">Организация и проведение мероприятий, Проектная работа, Фондовая работа, </t>
    </r>
    <r>
      <rPr>
        <rFont val="Arial"/>
        <color rgb="FF6AA84F"/>
      </rPr>
      <t>Инклюзивное волонтерство</t>
    </r>
  </si>
  <si>
    <t xml:space="preserve">Кафедра истории новейшей русской литературы и современного литературного процесса </t>
  </si>
  <si>
    <t>Участие в увлекательных образовательных проектах, помощь музею в создании и организации культурных встреч, также очень хотелось бы поучаствовать в научно-просветительской работе. Ожидаю получить опыт в данных направлениях. Если рассуждать более детально, то хотела бы присутствовать при мозговых штурмах, при создании новой программы, подбора темы для встречи, контактировать с лекторами, помогать структурировать информацию и поддерживать создаваемый проект на разных этапах.</t>
  </si>
  <si>
    <t>Рисование</t>
  </si>
  <si>
    <t>Непосредственная сфера научных интересов сейчас, в рамках курсовой работы: творчество Е. Водолазкина.
В истории России интересны три этапа
1) этап становления Московского княжества (от Ивана Калиты до Ивана III);
2) экономическая, политическая и социальная ситуация рубежа XIX-XX веков;
3) культурный феномен хрущевской оттепели.
В школьное время являлась олимпиадником по истории, победитель Регионального этапа Всероссийской олимпиады школьников, имею обширные знания по предмету, уровень выше сдачи ЕГЭ, хотя и сдала его на 96 б. для поступления. 
История для меня - это не только вещи, но и люди, их судьбы, это живая структура, и я буду рада быть причастной к ней!</t>
  </si>
  <si>
    <t>Организовывать и структурировать информацию. В качестве супер снаряжения - эксель. (Notion раньше)</t>
  </si>
  <si>
    <t>искала возможность волонтерства в музеях</t>
  </si>
  <si>
    <t xml:space="preserve">Координатор экскурсионного сопровождения арт-кластера "Таврида" (лето 2023) - проводила экскурсии для жителей и гостей Крыма в Академии творческих индустрий "Меганом".
В настоящий момент уже полгода работаю бебиситтером в KidsOut с детьми от 4-5 лет, имею большой опыт безопасного и увлекательного времяпрепровождения с детьми.
Опыт волонтерской деятельности небольшой, но работала на крупных площадках: 
Всероссийский водных конгресс в Экспо-Центре 2021
Музей-усадьба "Кусково" (День исторического и культурного наследия 2023)
Ночь географии на ВДНХ и акция "Журавли Победы" в музее Победы на Поклонной горе (2023) </t>
  </si>
  <si>
    <t>Организация и проведение мероприятий, Фондовая работа</t>
  </si>
  <si>
    <t>От волонтерства в Историческом музее я ожидаю знакомства с музейными фондами. Хочу участвовать в проведении мероприятий для детской аудитории музея. Также готова помогать коллегам в реализации их проектов.</t>
  </si>
  <si>
    <t xml:space="preserve">Обожаю путешествовать по России: была в Пскове, Пятигорске, объехала весь Крым. Для меня жизнь - это движение, поэтому люблю плавание, бадминтон, катание на роликах и фигурных коньках, попробовала дайвинг прошлым летом и езду верхом в Карачево-Черкессии в августе этого года.
Поскольку учусь на филолога, читаю много классики, также в свободное время читаю художественную и научно-популярную литературу о Москве и Петербурге.
Вышиваю крестиком незатейливые сюжеты: цветы, дома и маяки. </t>
  </si>
  <si>
    <t>Моя суперсила состоит в умении говорить забавным голосом, доносить сложное простым языком и выстраивать позитивную доверительную коммуникацию с разными по темпераменту людьми всех возрастов.
Умею стоять на руках у стенки, хотя это не так важно;)</t>
  </si>
  <si>
    <t>21.01.2004</t>
  </si>
  <si>
    <t>МПГУ</t>
  </si>
  <si>
    <t>Институт Истории и Политики</t>
  </si>
  <si>
    <t>Полянская Елизавета Константиновна</t>
  </si>
  <si>
    <t>Исторические:
- История и методология науки, техники, технологий
- Интеллектуальная история
- Публичная история
- Теория и методология истории
Неисторические - когнитивистика, социология, науковедение, педагогика, философия</t>
  </si>
  <si>
    <t>19/04/2002</t>
  </si>
  <si>
    <t>ГАУГН</t>
  </si>
  <si>
    <r>
      <rPr>
        <rFont val="Arial"/>
        <color theme="1"/>
      </rPr>
      <t xml:space="preserve">- Содействовал(-вую) в согласовании, организации и проведении мероприятий/проектов:
- Школьный волонтерский отряд (мероприятия для школьников)
- Молодежный парламент г. Москвы; Молодежная палата; "Мой досуговый центр "Атлант" (для жителей своего района)
- Студенческое научное общество ИИиП МПГУ (для студентов истфака МПГУ)
- Молодежный клуб РИО (для молодёжи, интересующейся историей)
Веду социальные сети, создаю посты:
- Студенческое научное общество ИИиП МПГУ
Участвую в руководстве/управлении:
- Студенческое научное общество ИИиП МПГУ
- Профсоюз обучающихся ИИиП МПГУ
</t>
    </r>
    <r>
      <rPr>
        <rFont val="Arial"/>
        <color rgb="FF93C47D"/>
      </rPr>
      <t xml:space="preserve">Леша, этот чел молодёжный:)
</t>
    </r>
    <r>
      <rPr>
        <rFont val="Arial"/>
        <color rgb="FFFF0000"/>
      </rPr>
      <t xml:space="preserve">Будет ли время на волонтерство???
</t>
    </r>
    <r>
      <rPr>
        <rFont val="Arial"/>
        <color theme="1"/>
      </rPr>
      <t>мелькает у меня периодически. Молклуб РИО воспринимаю как красный флаг, равно как и Молпарламент Москвы. но надо ирл посмотреть</t>
    </r>
  </si>
  <si>
    <t>исторический (Модели Всемирной истории)</t>
  </si>
  <si>
    <t>Всеобщая история</t>
  </si>
  <si>
    <t>средние века; исландистика, русско-скандинавские связи; историческая антропология, история семьи, гендерная история</t>
  </si>
  <si>
    <t xml:space="preserve">Организация и проведение мероприятий, Проектная работа, Фондовая работа </t>
  </si>
  <si>
    <t>- Найти приложение своим историческим, педагогическим и управленческим навыкам
- Органично развить (расширить) свои интересы в волонтёрстве, истории и музееведении
- Расширить кругозор благодаря общению и кооперации с единомышленниками</t>
  </si>
  <si>
    <t>Английский язык, Немецкий язык, древнеисландский</t>
  </si>
  <si>
    <t>- Чтение
- Ведение картотеки
- Менеджмент (event-, SMM-, комьюнити-)
- Музыка, фильмы</t>
  </si>
  <si>
    <t xml:space="preserve">Проектная работа, Фондовая работа
</t>
  </si>
  <si>
    <t>Организованность</t>
  </si>
  <si>
    <t>расширение компетенций; понимание того, как работает музей.</t>
  </si>
  <si>
    <t>изучать языки, читать книги</t>
  </si>
  <si>
    <t>спокойствие и умение держать лицо в любой ситуации</t>
  </si>
  <si>
    <t>Да</t>
  </si>
  <si>
    <t>05.10.2004</t>
  </si>
  <si>
    <t>Исторический факультет (историческая политология)</t>
  </si>
  <si>
    <t xml:space="preserve">Новой и новейшей истории </t>
  </si>
  <si>
    <t xml:space="preserve">История промышленности и производств. (Техническая история). Коллекционер радио и фототехники, реставратор. </t>
  </si>
  <si>
    <t>Золотарева Анна Олеговна</t>
  </si>
  <si>
    <t>Имею опыт коллекционирования, описания и каталогизирования старинных фотоаппаратов, фотопринадлежностей (экспонометров, дальномеров, люксометров и др.) Имею опыт реставрации радиотехники: радиол, проигрывателей, граммофонов, патефонов, приемников и т.д.).</t>
  </si>
  <si>
    <t>08.12.2002</t>
  </si>
  <si>
    <t xml:space="preserve">Фондовая работа </t>
  </si>
  <si>
    <t>Ожидаю возможности связать свою жизнь с музейной деятельностью.</t>
  </si>
  <si>
    <t xml:space="preserve">Помимо описанных выше, люблю путешествовать по России, занимаюсь сборкой компьютеров. Читаю книги по радиотехнике и радиоэлектронике. </t>
  </si>
  <si>
    <t>Моя суперсила- мой ум и язык. Коммуникабельность на высоком уровне.</t>
  </si>
  <si>
    <t>Изучение народного православия XIX и нач. XX века</t>
  </si>
  <si>
    <t>Работа в археологической Двинско-Волховской экспедиции, проходила пилотную стажировку в Пушкинском музее</t>
  </si>
  <si>
    <r>
      <rPr>
        <rFont val="Arial"/>
        <color theme="1"/>
      </rPr>
      <t xml:space="preserve">Организация и проведение мероприятий, Фондовая работа, </t>
    </r>
    <r>
      <rPr>
        <rFont val="Arial"/>
        <b/>
        <color theme="1"/>
      </rPr>
      <t>Инклюзивное волонтерство</t>
    </r>
  </si>
  <si>
    <t xml:space="preserve">Ожидаю получить новый опыт, который покажет внутренний мир музея. Знакомство с новыми и интересными людьми. А также хотелось бы внести свой собственный вклад в развитие музея. </t>
  </si>
  <si>
    <t xml:space="preserve">Люблю читать книги, проводить время в археологических экспедициях, посещать новые выставки и местные музеи в маленьких и больших городах, когда путешествую.   </t>
  </si>
  <si>
    <t>В честности своих намерений.</t>
  </si>
  <si>
    <t>26.09.2006</t>
  </si>
  <si>
    <t>Российский государственный гуманитарный университет</t>
  </si>
  <si>
    <t>Исторический факультет</t>
  </si>
  <si>
    <t>Кафедра истории России и средневековья и нового времени</t>
  </si>
  <si>
    <t>история России XVIII-XIX веков</t>
  </si>
  <si>
    <t>Бугаев Игорь Сергеевич</t>
  </si>
  <si>
    <t>07.12.2005</t>
  </si>
  <si>
    <t>Факультет архивоведения и документоведения</t>
  </si>
  <si>
    <t xml:space="preserve">Я очень рад, что есть такая возможность стать волонтером Исторического музея, так как в будущем я планирую стать экскурсоводам либо в музее, либо проводя обзорной экскурсии по Москве. Став волонтером ГИМ, я желаю на более глубоком уровне познакомиться с историей России, приобрести навыки коммуникации с посетителями музея и получить возможность познакомиться с уникальными документами и материалами, связанные с историей России XVIII-XIX веков. В этом, я уверен, мне помогут мои знания, которые были реализованы на государственных экзаменах и всероссийских олимпиадах по истории. Приобретение знаний и soft skills помогут мне в моей будущей профессиональной деятельности и в написании курсовых и дипломных работ. </t>
  </si>
  <si>
    <t>вокал, театральное искусство</t>
  </si>
  <si>
    <t>Реставрация и оценка документов</t>
  </si>
  <si>
    <t>Советская история, история революционного движения, культура и искусство 20-го века</t>
  </si>
  <si>
    <t xml:space="preserve">Моя суперсила состоит в постоянном совершенствовании своих знаний в области истории и культуры, в фанатичном увлечении в изучении исторических вопросов и проблем. Также моей сильной стороной является передача информации и интересных фактов с помощью харизматичной и грамотной коммуникации в случае проведения экскурсий и дискуссий. </t>
  </si>
  <si>
    <t>–</t>
  </si>
  <si>
    <t>Организация и проведение мероприятий, Фондовая работа, Инклюзивное волонтерство</t>
  </si>
  <si>
    <t>Ожидаю получения новых навыков</t>
  </si>
  <si>
    <t>История, искусство, кино</t>
  </si>
  <si>
    <t>Воля</t>
  </si>
  <si>
    <t>08/04/1970</t>
  </si>
  <si>
    <t>Санкт-Петербургский Государственный Университет (СпбГУ)</t>
  </si>
  <si>
    <t>экономический</t>
  </si>
  <si>
    <t xml:space="preserve">Мельников Андрей Александрович </t>
  </si>
  <si>
    <t>я давно закончила ВУЗ</t>
  </si>
  <si>
    <t>06 октября 1993</t>
  </si>
  <si>
    <t>маркетинг</t>
  </si>
  <si>
    <t>МГУПП</t>
  </si>
  <si>
    <t>научные интересы не преследую, разширяю кругозор</t>
  </si>
  <si>
    <t xml:space="preserve">Холодильная и криогенная техника </t>
  </si>
  <si>
    <t>С 1994 года работала во французским компаниях ЛОреаль, Бондюэль и т.п. , далее сидела с детьми (теперь они выросли). Стажировки были в сфере продаж и маркетинга. Последнее время участвовала в проектах по дизайну.</t>
  </si>
  <si>
    <t>Английский язык, Французский язык</t>
  </si>
  <si>
    <t xml:space="preserve">Бакалавр </t>
  </si>
  <si>
    <t xml:space="preserve">Холодильная техника </t>
  </si>
  <si>
    <r>
      <rPr>
        <rFont val="Arial"/>
        <color theme="1"/>
      </rPr>
      <t xml:space="preserve">Организация и проведение мероприятий, </t>
    </r>
    <r>
      <rPr>
        <rFont val="Arial"/>
        <color rgb="FFB6D7A8"/>
      </rPr>
      <t>Инклюзивное волонтерство</t>
    </r>
  </si>
  <si>
    <t xml:space="preserve">История, механика, техника.
</t>
  </si>
  <si>
    <t>Расширяю кругозор, ищу себе применение.</t>
  </si>
  <si>
    <t>антиквариат, реставрация</t>
  </si>
  <si>
    <t>Я - организатор. Лучше всего у меня получается свести воедино много мелких проектов (людей, дел) в одно большое целое</t>
  </si>
  <si>
    <r>
      <rPr>
        <rFont val="Arial"/>
        <color theme="1"/>
      </rPr>
      <t xml:space="preserve">Организация и проведение мероприятий, Проектная работа, Фондовая работа, </t>
    </r>
    <r>
      <rPr>
        <rFont val="Arial"/>
        <color rgb="FF38761D"/>
      </rPr>
      <t>Инклюзивное волонтерство</t>
    </r>
  </si>
  <si>
    <t xml:space="preserve">Работа на просвещение людей и повышение квалификации.
</t>
  </si>
  <si>
    <t xml:space="preserve">Стендовое моделирование </t>
  </si>
  <si>
    <t>История это не учительница, а надзирательница и она сурово карает за не выученные уроки.</t>
  </si>
  <si>
    <t>Швецова Ирина Алексеевна</t>
  </si>
  <si>
    <t>27.07.2003</t>
  </si>
  <si>
    <t>05.02.1987</t>
  </si>
  <si>
    <t>МГЮА им. Кутафина</t>
  </si>
  <si>
    <t>Юридический факультет</t>
  </si>
  <si>
    <t>Окончила ВУЗ в 2009 году</t>
  </si>
  <si>
    <t>Международное частное право</t>
  </si>
  <si>
    <t>Люблю искусство в любых его проявлениях (театр, выставки, концерты, экскурсии и пр)</t>
  </si>
  <si>
    <t>Много лет занимаюсь юридической практикой. Но люблю искусство, поэтому в свободное время хочется попробовать делать что-то в этой сфере. Буду рада поучаствовать в жизни музея</t>
  </si>
  <si>
    <t>История Южной Италии XIII века</t>
  </si>
  <si>
    <t>Музейная практика в Музее истории ГУЛАГа</t>
  </si>
  <si>
    <r>
      <rPr>
        <rFont val="Arial"/>
        <color theme="1"/>
      </rPr>
      <t xml:space="preserve">Хочется попробовать делать что-то в мире искусства. Поскольку я уже имею достаточно большой опыт профессиональной деятельности, сейчас хочется делать что-то для души. По возможности хотелось бы реализовать свой жизненный опыт, мотивацию и поучаствовать в более сложных и комплексных проектах музея (проектная, фондовая работа, возможно, какие-то </t>
    </r>
    <r>
      <rPr>
        <rFont val="Arial"/>
        <color rgb="FFFF0000"/>
      </rPr>
      <t xml:space="preserve">исследования </t>
    </r>
    <r>
      <rPr>
        <rFont val="Arial"/>
        <color theme="1"/>
      </rPr>
      <t xml:space="preserve">и пр) </t>
    </r>
  </si>
  <si>
    <t>Свободное время часто посвящаю миру искусства (театры, выставки, концерты, экскурсии и пр), получаю от этого удовольствие и перезагружаюсь от будничных проблем и рутины</t>
  </si>
  <si>
    <t>Новые знания об интересующей меня эпохе - Средневековье
понимание принципов работы Исторического музея;
работы в фондах и проектах музея;
Знакомство с работниками музея и другими волонтёрами</t>
  </si>
  <si>
    <t>Проактивность, мотивация, жизненная энергия</t>
  </si>
  <si>
    <t>Фехтование, игра на гитаре, настольные игры</t>
  </si>
  <si>
    <t xml:space="preserve">В умении погрузиться и найти интерес в монотонной работе(если она связана с историей) </t>
  </si>
  <si>
    <t xml:space="preserve">Сама искала в интернете возможности волонтерства в музее, заинтересовал именно ГИМ </t>
  </si>
  <si>
    <t xml:space="preserve">Васильева Анастасия Алексеевна </t>
  </si>
  <si>
    <t xml:space="preserve">30.09.2004 </t>
  </si>
  <si>
    <t xml:space="preserve">РГУ им А.Н. Косыгина </t>
  </si>
  <si>
    <t xml:space="preserve">Институт славянской культуры </t>
  </si>
  <si>
    <t>10.03.2004</t>
  </si>
  <si>
    <t xml:space="preserve">Теории и истории искусств </t>
  </si>
  <si>
    <t xml:space="preserve">Дошкольная дефектология </t>
  </si>
  <si>
    <t xml:space="preserve">Фольклористика, востоковедение, современное искусство </t>
  </si>
  <si>
    <t>Куратор театральных трупп премии "Золотая маска" в 2022 и 2023 годах</t>
  </si>
  <si>
    <t>Институт детства</t>
  </si>
  <si>
    <t>Дефектология, психология, изобразительное искусство</t>
  </si>
  <si>
    <t>Познакомиться с работой в музее</t>
  </si>
  <si>
    <t>Танцевальное современное искусство</t>
  </si>
  <si>
    <t>Инклюзивное волонтерство</t>
  </si>
  <si>
    <t xml:space="preserve">Целеустремлённость </t>
  </si>
  <si>
    <t>Интересный опыт</t>
  </si>
  <si>
    <t>Рисование, чтение, написание стихотворений</t>
  </si>
  <si>
    <t xml:space="preserve">В семье </t>
  </si>
  <si>
    <t xml:space="preserve">От фонда образ жизни </t>
  </si>
  <si>
    <t xml:space="preserve">Воронина Светлана Михайловна </t>
  </si>
  <si>
    <t>19.02.2006</t>
  </si>
  <si>
    <t xml:space="preserve">ГАУГН </t>
  </si>
  <si>
    <t xml:space="preserve">Факультет Мировой Политики </t>
  </si>
  <si>
    <t>20.03.2002</t>
  </si>
  <si>
    <t xml:space="preserve">Зарубежного регионоведения </t>
  </si>
  <si>
    <t xml:space="preserve">Учебно-научный центр изучения религий </t>
  </si>
  <si>
    <t xml:space="preserve">Международные отношения </t>
  </si>
  <si>
    <t>Истории религий</t>
  </si>
  <si>
    <t>Медиевистика, англосаксонистика и скандинавистика</t>
  </si>
  <si>
    <t xml:space="preserve">Получение новых фундаментальных знаний, знакомство с профессионалами и погружение в атмосферу Исторического музея. </t>
  </si>
  <si>
    <t xml:space="preserve">Спорт, изучение иностранных языков, интерес к архитектуре </t>
  </si>
  <si>
    <t>Хотелось бы поработать с заинтересованными людьми, у которых можно научиться чему-то новому, и, со своей стороны, максимально помочь и сделать что-то полезное, внести вклад в общее дело</t>
  </si>
  <si>
    <t>Гиперответственность, умение работать в коллективе, толерантность, желание работать и развиваться</t>
  </si>
  <si>
    <t>Рисование, плавание на сап-борде</t>
  </si>
  <si>
    <t>Дотошность к деталям</t>
  </si>
  <si>
    <t>05.06.2004</t>
  </si>
  <si>
    <t xml:space="preserve">Царева София Михайловна </t>
  </si>
  <si>
    <t>14.04.2004</t>
  </si>
  <si>
    <t>Журналистики</t>
  </si>
  <si>
    <t>Школа исторических наук</t>
  </si>
  <si>
    <t>Российская империя в середины 19 - начала 20 века, бюрократия, региональная история, благотворительность</t>
  </si>
  <si>
    <t>Фотожурналистики и технологий СМИ</t>
  </si>
  <si>
    <t>Отвечала за инфопартнеров на культурно-историческом квесте HSE RUN 28, автор телеграм-канала Школы исторических наук НИУ ВШЭ</t>
  </si>
  <si>
    <t xml:space="preserve">Дизайн, История </t>
  </si>
  <si>
    <t>Работала в компании Business Booster (создавала презентации), стажировалась в компании Friflex (создавала макеты приложения),  являюсь действующим главным дизайнером киберспортивной секции МГУ</t>
  </si>
  <si>
    <r>
      <rPr>
        <rFont val="Arial"/>
        <color theme="1"/>
      </rPr>
      <t xml:space="preserve">Организация и проведение мероприятий, </t>
    </r>
    <r>
      <rPr>
        <rFont val="Arial"/>
        <b/>
        <color theme="1"/>
      </rPr>
      <t>Проектная работа</t>
    </r>
    <r>
      <rPr>
        <rFont val="Arial"/>
        <color theme="1"/>
      </rPr>
      <t>, Фондовая работа</t>
    </r>
  </si>
  <si>
    <t>Хочется приобрести опыт в разработке и подготовки музейных событий, отбору материалов для экспозиций, разобраться в основах работы с музейными фондами, участвовать в популяризации исторического наследия России</t>
  </si>
  <si>
    <r>
      <rPr>
        <rFont val="Arial"/>
        <color rgb="FF6AA84F"/>
      </rPr>
      <t>Увлекаюсь графическим дизайном</t>
    </r>
    <r>
      <rPr>
        <rFont val="Arial"/>
        <color theme="1"/>
      </rPr>
      <t xml:space="preserve"> (дизайном плакатов и т.д.), вышивкой бисером, </t>
    </r>
  </si>
  <si>
    <t xml:space="preserve">Мне хочется получить новый опыт, найти новых знакомых и познать «внутрянку» организации различных мероприятий </t>
  </si>
  <si>
    <t>Могу освоить любой материал за одну поездку в метро</t>
  </si>
  <si>
    <t xml:space="preserve">Мне нравится читать, заниматься дизайном и познавать что-то новое </t>
  </si>
  <si>
    <t>Могу классно брэинштормить)</t>
  </si>
  <si>
    <t>15.07.2004</t>
  </si>
  <si>
    <t>Аверина Александра Евгеньевна</t>
  </si>
  <si>
    <t>25.09.1982</t>
  </si>
  <si>
    <t>ИАИ</t>
  </si>
  <si>
    <t>ННФ УРИО (бывш. УРАО (ННФ)</t>
  </si>
  <si>
    <t>Средневековье Руси, первая четверть XX века</t>
  </si>
  <si>
    <t>Истории и права</t>
  </si>
  <si>
    <t xml:space="preserve">- Я подрабатываю в Институте Археологии РАН. 
- Ездила в археологическую экспедицию в Суздале, где копали могильник XI-XII вв.
- Работаю экскурсоводом и координатором выездных мероприятий в Экоцентре «Сборка» на Чистых прудах. (Участвовала в совместном проекте с Новой Третьяковкой) </t>
  </si>
  <si>
    <t>выпускник</t>
  </si>
  <si>
    <t>Фондовая работа (любой тип памятников)</t>
  </si>
  <si>
    <t>Культурологии</t>
  </si>
  <si>
    <t>Знакомство с интересными людьми, углубление знаний по истории России, опыт работы в музее.</t>
  </si>
  <si>
    <t>история быта, история искусства</t>
  </si>
  <si>
    <t>В свое свободное время я читаю тексты к семинарам и работаю в камералке РАНа. Люблю ходить на выставки, в театры и ездить в небольшие города России.</t>
  </si>
  <si>
    <t xml:space="preserve">Пока не знаю </t>
  </si>
  <si>
    <t>Организация культурно-массовых мероприятий 10 - 1000 чел., организация исторического фестиваля, организация балов, создание и реализация социальных проектов</t>
  </si>
  <si>
    <t>Мне интересно посмотреть как работает музей, интересно стать частью его жизни</t>
  </si>
  <si>
    <t>Исторические социальные танцы</t>
  </si>
  <si>
    <t>Я придумываю сумасшедшие идеи и реализую их. Горжусь тем, что уже третий год подряд провожу в своем городе проект "Майский вальс", в нем участвуют старшеклассники, и за пару месяцев до Дня Победы незнакомые подростки начинают писать в личку "когда уже начнутся репетиции?", и это абсолютно без привлечения административного  ресурса - дети сами приходят к нам, потому что интересно :)</t>
  </si>
  <si>
    <t>14.11.1979</t>
  </si>
  <si>
    <t xml:space="preserve">КГПИ, СГУ </t>
  </si>
  <si>
    <t xml:space="preserve">Филфак, истфак </t>
  </si>
  <si>
    <t xml:space="preserve">Специалитет </t>
  </si>
  <si>
    <r>
      <rPr>
        <rFont val="Arial"/>
        <color theme="1"/>
      </rPr>
      <t xml:space="preserve">Более 5 лет в музее </t>
    </r>
    <r>
      <rPr>
        <rFont val="Arial"/>
        <color rgb="FF93C47D"/>
      </rPr>
      <t>Какой музей?</t>
    </r>
  </si>
  <si>
    <t xml:space="preserve">Не владею </t>
  </si>
  <si>
    <r>
      <rPr>
        <rFont val="Arial"/>
        <color theme="1"/>
      </rPr>
      <t xml:space="preserve">Фондовая работа </t>
    </r>
    <r>
      <rPr>
        <rFont val="Arial"/>
        <color rgb="FF93C47D"/>
      </rPr>
      <t>(режим работы фондов учитывать)</t>
    </r>
  </si>
  <si>
    <t xml:space="preserve">Опыта, новых знаний, впечатлений </t>
  </si>
  <si>
    <t xml:space="preserve">Сад и изучение Москвы </t>
  </si>
  <si>
    <t xml:space="preserve">Культурологический анализ разных текстов культуры </t>
  </si>
  <si>
    <t xml:space="preserve">Евдокимова Юлия Юрьевна </t>
  </si>
  <si>
    <t>18.02.2000</t>
  </si>
  <si>
    <t>05.10.2005</t>
  </si>
  <si>
    <t>Государственный академический университет гуманитарных наук</t>
  </si>
  <si>
    <t>История России Нового времени</t>
  </si>
  <si>
    <t xml:space="preserve">Работаю </t>
  </si>
  <si>
    <t>История России XVIII века, социальная история, история повседневности</t>
  </si>
  <si>
    <t xml:space="preserve">Всеобщая история </t>
  </si>
  <si>
    <t>Волонтёрство на  международной научной конференции "Меняющаяся Россия в XVII-XX вв.: политика, общество, повседневность".</t>
  </si>
  <si>
    <t xml:space="preserve">История России 19 век </t>
  </si>
  <si>
    <t xml:space="preserve">Работаю в музее военной техники </t>
  </si>
  <si>
    <t>Возможность погрузиться в работу музея "изнутри"</t>
  </si>
  <si>
    <t>Спорт
Просмотр исторических сериалов</t>
  </si>
  <si>
    <t>Ответственность и работоспособность</t>
  </si>
  <si>
    <t>Получить новый опыт в музейной сфере. Побыть «в кухне» главного исторического музея страны.</t>
  </si>
  <si>
    <t xml:space="preserve">Музыка, написание текстов </t>
  </si>
  <si>
    <t xml:space="preserve">Быстро обучаюсь новому </t>
  </si>
  <si>
    <t>22.11.2004</t>
  </si>
  <si>
    <t>Кафедра Всеобщей Истории</t>
  </si>
  <si>
    <t>Поздняя античность</t>
  </si>
  <si>
    <t>Центр Педагогического мастерства сборная Москвы по истории Всероссийской олимпиады школьников - вожатая август 2024, октябрь 2024
Школа студенческого актива 3.0 , блок проектный менеджмент- спикер
Студенческая осень РГГУ 2022- участник
Студенческая осень РГГУ 2023 и 2024 - куратор команды факультета
Проектный форум " Краш-тест" РГГУ 2023 - участник
Школа Тим-лидеров РГГУ 2023 - участник
Проектный форум YouLead'22- участник
Студенческий совет исторического факультета РГГУ 
2022-2023 организатор мероприятий :Танцевальный вечер "Мартовский этюд", "Суды Истории", "Джефф "Викторина победы"", "Вечерний Истфак", "Джефф "Деструктивное поведение", "Квест для первокурсников"; 2023-2024 заместитель председателя
Волонтерский центр РГГУ 
Международная модель Совета Безопасности ООН Active modern community 2024- организатор
Модель Московского Переговорного Процесса 1945 Actve Modern Community 2024- организатор
Международная конференция "История Новороссии" 2024- волонтер</t>
  </si>
  <si>
    <t xml:space="preserve">Тихонова Ирина Дмитриевна </t>
  </si>
  <si>
    <t>03.10.2002</t>
  </si>
  <si>
    <t>-новые знакомства
-приобретение нового опыта и переосмысление предыдущего
-улучшение разговорных навыков иностранных языков</t>
  </si>
  <si>
    <t>картины по номерам, прогулки, походы в музеи</t>
  </si>
  <si>
    <t>Истфак</t>
  </si>
  <si>
    <t>работоспособность</t>
  </si>
  <si>
    <t>Политическая и социальная (Власть и общество) история Великобритании в XVIII-XIX вв.</t>
  </si>
  <si>
    <t>Да, работала в двух сферах: онлайн-образование (подготовка к ЕГЭ) и логистика (работа в краудфандинговой компании) 
Этим летом регистрировалась на стажировку в Минкульт, прошла все этапы, но к сожалению, не приняла участие из-за сложности состыковки графиков работы и стажировки 🥲</t>
  </si>
  <si>
    <r>
      <rPr>
        <rFont val="Arial"/>
        <color theme="1"/>
      </rPr>
      <t xml:space="preserve">Проектная работа, </t>
    </r>
    <r>
      <rPr>
        <rFont val="Arial"/>
        <b/>
        <color theme="1"/>
      </rPr>
      <t>Фондовая работа</t>
    </r>
  </si>
  <si>
    <t>Хотелось бы получить представление о внутренней кухне музея, получит опыт работы в фондах для возможности дальнейшего трудоустройства по образованию в музейной сфере</t>
  </si>
  <si>
    <t>23.04.2004</t>
  </si>
  <si>
    <t>Коллекционирую винил, чтение, возможно что-то творческое, но всегда разное (люблю и картины по номерам раскрашивать, и вышивать, лепить что-то и т.д.)</t>
  </si>
  <si>
    <t>МГЛУ</t>
  </si>
  <si>
    <t>В открытости</t>
  </si>
  <si>
    <t>Лингвистика</t>
  </si>
  <si>
    <t>Английского языка</t>
  </si>
  <si>
    <t>История России XIX-XX вв., История русской литературы XIX-XX вв., Этнокультурология, Лингвокультурология, Корееведение</t>
  </si>
  <si>
    <r>
      <rPr>
        <rFont val="Arial"/>
        <b/>
        <color theme="1"/>
      </rPr>
      <t xml:space="preserve">Организация и проведение мероприятий, </t>
    </r>
    <r>
      <rPr>
        <rFont val="Arial"/>
        <color theme="1"/>
      </rPr>
      <t xml:space="preserve"> Фондовая работа, </t>
    </r>
    <r>
      <rPr>
        <rFont val="Arial"/>
        <b/>
        <color theme="1"/>
      </rPr>
      <t xml:space="preserve">Инклюзивное волонтерство
</t>
    </r>
    <r>
      <rPr>
        <rFont val="Arial"/>
        <color theme="1"/>
      </rPr>
      <t>Проектная деятельность</t>
    </r>
  </si>
  <si>
    <t>Помощь в организации мероприятий музея, погружение в историческую среду</t>
  </si>
  <si>
    <t>Классическая литература, История, путешествия, изучение иностранных языков</t>
  </si>
  <si>
    <t>Если мне действительно нравится моё дело, я очень энергична и деятельна.</t>
  </si>
  <si>
    <t>23.12.1994</t>
  </si>
  <si>
    <t>РГСУ</t>
  </si>
  <si>
    <t>Факультет экономики и управления</t>
  </si>
  <si>
    <t xml:space="preserve">Человеческого капитала </t>
  </si>
  <si>
    <t xml:space="preserve">История России и Всемирная история XX века </t>
  </si>
  <si>
    <t>Архивное волонтерство, работа архивариусом</t>
  </si>
  <si>
    <t>Получить опыт который смогу применять в практической деятельности, так как по первому образованию историк</t>
  </si>
  <si>
    <t xml:space="preserve">Warhammer 40.000 </t>
  </si>
  <si>
    <t>Доброта</t>
  </si>
  <si>
    <t>25.03.1963</t>
  </si>
  <si>
    <t xml:space="preserve">Красноярский государственный педагогический университет им. В.П. Астафьева. </t>
  </si>
  <si>
    <t>Учитель, преподаватель истории и обществознания</t>
  </si>
  <si>
    <t>Институт дополнительного образования и повышения квалификации</t>
  </si>
  <si>
    <t>Истории и обществознания</t>
  </si>
  <si>
    <t>Без опыта</t>
  </si>
  <si>
    <t>Проектная работа, Фондовая работа</t>
  </si>
  <si>
    <t>Работа в команде, личностный рост</t>
  </si>
  <si>
    <t>Физическая активность (зарядки, прогулки), чтение</t>
  </si>
  <si>
    <t>Доброжелательность, внимательное отношение к людям, умение донести информацию</t>
  </si>
  <si>
    <t>01.12.1995</t>
  </si>
  <si>
    <t>ИКВИА</t>
  </si>
  <si>
    <t>магистр</t>
  </si>
  <si>
    <t>античная и восточная археология</t>
  </si>
  <si>
    <t>Библеистика, сирология, археология</t>
  </si>
  <si>
    <t>Археология. Три сезона (2020-2022, по одному месяцу) на территории поселения Балан (Абхазия) в рамках международного проекта «Восточное Причерноморье в античности». Один сезон (2021, две недели) участвовал в спасательных раскопках Правобережного Цимлянского городища. Один сезон (2022, две недели) был участником международного проекта «Формирование кочевнического государства и урбанизация на Северном Шелковом пути: раннесредневековый город Джанкент (регион Аральского моря, Казахстан)». 
Геодезия. Больше года (2023-2024) работал геодезистом в Москве и в Подмосковье (монолит, благоустройство)</t>
  </si>
  <si>
    <t>Английский и немецкий были несколько лет назад B1. Однако в последние годы не было практики</t>
  </si>
  <si>
    <t>Организация и проведение мероприятий, Проектная работа (квесты), Фондовая работа (археология, тексты)</t>
  </si>
  <si>
    <t>Опыт, развитие новых умений, полезные знакомства</t>
  </si>
  <si>
    <t>Велосипед, танцы</t>
  </si>
  <si>
    <t>Выносливость</t>
  </si>
  <si>
    <t>17.06.2005</t>
  </si>
  <si>
    <t>Археология (с 3 курса)</t>
  </si>
  <si>
    <r>
      <rPr>
        <rFont val="Arial"/>
        <color rgb="FFB6D7A8"/>
      </rPr>
      <t xml:space="preserve">Археология </t>
    </r>
    <r>
      <rPr>
        <rFont val="Arial"/>
        <color theme="1"/>
      </rPr>
      <t>- преимущественно неолит, энеолит и ранний бронзовый век; реставрация и реконструкция текстиля и предметов одежды.</t>
    </r>
  </si>
  <si>
    <t>Опыт участия в Смоленской археологической экспедиции МГУ - 1 месяц; занималась в том числе камеральной работой - полевой документацией находок и их последующей зарисовкой, а также составлением чертежей и планов.</t>
  </si>
  <si>
    <t>В первую очередь хотелось бы получить опыт работы с археологическим материалом вне экспедиции, увидеть "изнутри" музейное дело, познакомиться с представителями научного сообщества.</t>
  </si>
  <si>
    <r>
      <rPr>
        <rFont val="Arial"/>
        <color rgb="FF93C47D"/>
      </rPr>
      <t>Шитьё (в том числе реконструкция</t>
    </r>
    <r>
      <rPr>
        <rFont val="Arial"/>
        <color theme="1"/>
      </rPr>
      <t>)</t>
    </r>
  </si>
  <si>
    <t>В усидчивости, способности долго концентрироваться, особенно на мелкой ручной работе</t>
  </si>
  <si>
    <t>24.04.2002</t>
  </si>
  <si>
    <t xml:space="preserve">Московский Государственный Институт Культуры </t>
  </si>
  <si>
    <t xml:space="preserve">Государственной Культурной Политики </t>
  </si>
  <si>
    <t xml:space="preserve">5 курс специалитет </t>
  </si>
  <si>
    <t xml:space="preserve">кафедра управления и экономики культуры </t>
  </si>
  <si>
    <t xml:space="preserve">всеобщая история искусств, атрибуция произведений искусства </t>
  </si>
  <si>
    <t xml:space="preserve">возможность поработать с музейными экспонатами, поучаствовать в процессе их хранения, а также улучшить навыки в области общения и приобрести ценный опыт от кураторов и исследователей </t>
  </si>
  <si>
    <t xml:space="preserve">чтение </t>
  </si>
  <si>
    <t xml:space="preserve">умею работать в команде и быстро обучаюсь </t>
  </si>
  <si>
    <t>30.06.2005</t>
  </si>
  <si>
    <t>МГУ им. Ломоносова</t>
  </si>
  <si>
    <t xml:space="preserve">История России конца XIX - начала XX </t>
  </si>
  <si>
    <r>
      <rPr>
        <rFont val="Arial"/>
        <color theme="1"/>
      </rPr>
      <t xml:space="preserve">Организация и проведение мероприятий, Проектная работа, , </t>
    </r>
    <r>
      <rPr>
        <rFont val="Arial"/>
        <b/>
        <color rgb="FF93C47D"/>
      </rPr>
      <t>Инклюзивное волонтерство</t>
    </r>
  </si>
  <si>
    <t>Возможности поучаствовать в интересных проектах, попробовать свои силы в различных сферах</t>
  </si>
  <si>
    <t>Спортивно-бальные танцы, чтение, исторические танцы</t>
  </si>
  <si>
    <t>Я жизнерадостный и увлечённый человек, готовый к экспериментам</t>
  </si>
  <si>
    <t>15.08.1982</t>
  </si>
  <si>
    <t xml:space="preserve">Историко-филологический </t>
  </si>
  <si>
    <t>Окончила</t>
  </si>
  <si>
    <t>Филология</t>
  </si>
  <si>
    <t>Литература, география</t>
  </si>
  <si>
    <t>Последнее место работы - выставка «Россия»</t>
  </si>
  <si>
    <t>Английский, уровень пока не подтверждён</t>
  </si>
  <si>
    <t xml:space="preserve">Организация и проведение мероприятий, Проектная работа </t>
  </si>
  <si>
    <t>Хочу получить понимание процесса и опыт работы в одном из наиболее значимых музеев Москвы.</t>
  </si>
  <si>
    <t>Мой блог; когда есть время разбираю современные композиции на инструменте (пианино)</t>
  </si>
  <si>
    <t>В гибкости. Умении подстраиваться под меняющиеся обстоятельства.</t>
  </si>
  <si>
    <t>25.10.1991</t>
  </si>
  <si>
    <t>Мгу, рггу</t>
  </si>
  <si>
    <t>2 курс Магистратуры</t>
  </si>
  <si>
    <t>Кафедра истории государственных учреждений и общественных организаций</t>
  </si>
  <si>
    <t>Первая, мировая война, военные сообщения</t>
  </si>
  <si>
    <t>Хороший молодой коллектив</t>
  </si>
  <si>
    <t>Книги, музеи</t>
  </si>
  <si>
    <t>Не знаю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</si>
</sst>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  <font>
      <b/>
      <color rgb="FF000000"/>
      <name val="Arial"/>
      <scheme val="minor"/>
    </font>
    <font>
      <color rgb="FFFF0000"/>
      <name val="Arial"/>
      <scheme val="minor"/>
    </font>
    <font>
      <color rgb="FF434343"/>
      <name val="Roboto"/>
    </font>
    <font>
      <sz val="11.0"/>
      <color rgb="FF434343"/>
      <name val="Roboto"/>
    </font>
    <font>
      <color rgb="FF6AA84F"/>
      <name val="Roboto"/>
    </font>
    <font>
      <color theme="1"/>
      <name val="Arial"/>
    </font>
    <font>
      <sz val="11.0"/>
      <color theme="1"/>
      <name val="Arial"/>
    </font>
    <font>
      <color rgb="FFFFD966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quotePrefix="1"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quotePrefix="1"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12" numFmtId="164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quotePrefix="1"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Очно 30.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Дистант 29.1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4" displayName="Таблица1" name="Таблица1" id="1">
  <autoFilter ref="$A$1:$S$34"/>
  <tableColumns count="19">
    <tableColumn name="ЯВКА" id="1"/>
    <tableColumn name="Сколько баллов дали после обработки анкеты:_x000a__x000a_0 - не позвали на очное собеседование_x000a_1 - слабая анкета_x000a_2 - средняя анкета_x000a_3 - хорошая анкета" id="2"/>
    <tableColumn name="Взяли ли в итоге кандидата в команду после очного собеседования?_x000a_" id="3"/>
    <tableColumn name="Длительность пребывания в программе_x000a_в годах" id="4"/>
    <tableColumn name="Еще состоит в программе?_x000a__x000a_" id="5"/>
    <tableColumn name="Активность в часах в год:_x000a__x000a_До 10 часаов - мало_x000a_10-30 часов - средний_x000a_Более 30 часов - отлично_x000a_" id="6"/>
    <tableColumn name="Дата рождения" id="7"/>
    <tableColumn name="ВУЗ" id="8"/>
    <tableColumn name="Факультет" id="9"/>
    <tableColumn name="Курс" id="10"/>
    <tableColumn name="Кафедра" id="11"/>
    <tableColumn name="Сфера научных интересов" id="12"/>
    <tableColumn name="Опыт работы, стажировки, участие в проектах и т.д. (если имеется)" id="13"/>
    <tableColumn name="Владение иностранными языками (отмечать только начиная с уровня  B1 и выше)" id="14"/>
    <tableColumn name="Интересующие виды волонтёрства_x000a_" id="15"/>
    <tableColumn name="Чего Вы ожидаете от волонтерства в Историческом музее?" id="16"/>
    <tableColumn name="Ваше хобби" id="17"/>
    <tableColumn name="В чем Ваша суперсила?" id="18"/>
    <tableColumn name="Откуда Вы узнали о наборе" id="19"/>
  </tableColumns>
  <tableStyleInfo name="Очно 30.10-style" showColumnStripes="0" showFirstColumn="1" showLastColumn="1" showRowStripes="1"/>
</table>
</file>

<file path=xl/tables/table2.xml><?xml version="1.0" encoding="utf-8"?>
<table xmlns="http://schemas.openxmlformats.org/spreadsheetml/2006/main" ref="A1:T25" displayName="Таблица2" name="Таблица2" id="2">
  <autoFilter ref="$A$1:$T$25"/>
  <tableColumns count="20">
    <tableColumn name="ЯВКА" id="1"/>
    <tableColumn name="Сколько баллов дали после обработки анкеты:_x000a__x000a_0 - не позвали на очное собеседование_x000a_1 - слабая анкета_x000a_2 - средняя анкета_x000a_3 - хорошая анкета" id="2"/>
    <tableColumn name="Взяли ли в итоге кандидата в команду после очного собеседования?_x000a_" id="3"/>
    <tableColumn name="Длительность пребывания в программе_x000a_в годах" id="4"/>
    <tableColumn name="Еще состоит в программе?_x000a__x000a_" id="5"/>
    <tableColumn name="Активность в часах в год:_x000a__x000a_До 10 часаов - мало_x000a_10-30 часов - средний_x000a_Более 30 часов - отлично_x000a_" id="6"/>
    <tableColumn name="ФИО" id="7"/>
    <tableColumn name="Дата рождения" id="8"/>
    <tableColumn name="ВУЗ" id="9"/>
    <tableColumn name="Факультет" id="10"/>
    <tableColumn name="Курс" id="11"/>
    <tableColumn name="Кафедра" id="12"/>
    <tableColumn name="Сфера научных интересов" id="13"/>
    <tableColumn name="Опыт работы, стажировки, участие в проектах и т.д. (если имеется)" id="14"/>
    <tableColumn name="Владение иностранными языками (отмечать только начиная с уровня  B1 и выше)" id="15"/>
    <tableColumn name="Интересующие виды волонтёрства_x000a_" id="16"/>
    <tableColumn name="Чего Вы ожидаете от волонтерства в Историческом музее?" id="17"/>
    <tableColumn name="Ваше хобби" id="18"/>
    <tableColumn name="В чем Ваша суперсила?" id="19"/>
    <tableColumn name="Откуда Вы узнали о наборе" id="20"/>
  </tableColumns>
  <tableStyleInfo name="Дистант 29.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5"/>
    <col customWidth="1" min="4" max="4" width="27.13"/>
    <col customWidth="1" min="5" max="5" width="12.75"/>
    <col customWidth="1" min="6" max="6" width="20.75"/>
    <col customWidth="1" min="8" max="9" width="12.75"/>
    <col customWidth="1" min="11" max="11" width="15.38"/>
    <col customWidth="1" min="12" max="12" width="36.5"/>
    <col customWidth="1" min="13" max="13" width="37.63"/>
    <col customWidth="1" min="14" max="14" width="52.0"/>
    <col customWidth="1" min="15" max="15" width="49.25"/>
    <col customWidth="1" min="16" max="16" width="37.63"/>
    <col customWidth="1" min="17" max="17" width="43.25"/>
    <col customWidth="1" min="18" max="18" width="63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2" t="s">
        <v>18</v>
      </c>
      <c r="S1" s="2" t="s">
        <v>19</v>
      </c>
    </row>
    <row r="2" ht="22.5" customHeight="1">
      <c r="A2" s="5" t="s">
        <v>20</v>
      </c>
      <c r="B2" s="6">
        <v>3.0</v>
      </c>
      <c r="C2" s="6" t="s">
        <v>21</v>
      </c>
      <c r="D2" s="6">
        <f>ROUND(YEARFRAC("01.11.2024","31.03.2026",1),1)</f>
        <v>1.4</v>
      </c>
      <c r="E2" s="6" t="s">
        <v>22</v>
      </c>
      <c r="F2" s="6">
        <v>9.0</v>
      </c>
      <c r="G2" s="7" t="s">
        <v>23</v>
      </c>
      <c r="H2" s="5" t="s">
        <v>25</v>
      </c>
      <c r="I2" s="5" t="s">
        <v>27</v>
      </c>
      <c r="J2" s="5" t="s">
        <v>30</v>
      </c>
      <c r="K2" s="5" t="s">
        <v>31</v>
      </c>
      <c r="L2" s="5" t="s">
        <v>35</v>
      </c>
      <c r="M2" s="5" t="s">
        <v>37</v>
      </c>
      <c r="N2" s="5" t="s">
        <v>38</v>
      </c>
      <c r="O2" s="5" t="s">
        <v>40</v>
      </c>
      <c r="P2" s="5" t="s">
        <v>43</v>
      </c>
      <c r="Q2" s="5" t="s">
        <v>45</v>
      </c>
      <c r="R2" s="5" t="s">
        <v>47</v>
      </c>
      <c r="S2" s="5" t="s">
        <v>48</v>
      </c>
    </row>
    <row r="3" ht="22.5" customHeight="1">
      <c r="A3" s="5" t="s">
        <v>20</v>
      </c>
      <c r="B3" s="6">
        <v>2.0</v>
      </c>
      <c r="C3" s="6" t="s">
        <v>21</v>
      </c>
      <c r="D3" s="5">
        <f>ROUND(YEARFRAC("01.11.2024","13.11.2025",1),1)</f>
        <v>1</v>
      </c>
      <c r="E3" s="6" t="s">
        <v>22</v>
      </c>
      <c r="F3" s="6">
        <v>31.0</v>
      </c>
      <c r="G3" s="7" t="s">
        <v>52</v>
      </c>
      <c r="H3" s="5" t="s">
        <v>54</v>
      </c>
      <c r="I3" s="5" t="s">
        <v>55</v>
      </c>
      <c r="J3" s="5" t="s">
        <v>58</v>
      </c>
      <c r="K3" s="5" t="s">
        <v>59</v>
      </c>
      <c r="L3" s="5" t="s">
        <v>60</v>
      </c>
      <c r="M3" s="5" t="s">
        <v>62</v>
      </c>
      <c r="N3" s="5" t="s">
        <v>38</v>
      </c>
      <c r="O3" s="5" t="s">
        <v>65</v>
      </c>
      <c r="P3" s="5" t="s">
        <v>67</v>
      </c>
      <c r="Q3" s="5" t="s">
        <v>68</v>
      </c>
      <c r="R3" s="5" t="s">
        <v>69</v>
      </c>
      <c r="S3" s="5" t="s">
        <v>46</v>
      </c>
    </row>
    <row r="4" ht="22.5" customHeight="1">
      <c r="A4" s="5" t="s">
        <v>20</v>
      </c>
      <c r="B4" s="6">
        <v>2.0</v>
      </c>
      <c r="C4" s="6" t="s">
        <v>21</v>
      </c>
      <c r="D4" s="5">
        <f>ROUND(YEARFRAC("01.11.2024","12.01.2026",1),1)</f>
        <v>1.2</v>
      </c>
      <c r="E4" s="6" t="s">
        <v>22</v>
      </c>
      <c r="F4" s="6">
        <v>51.0</v>
      </c>
      <c r="G4" s="7" t="s">
        <v>73</v>
      </c>
      <c r="H4" s="5" t="s">
        <v>75</v>
      </c>
      <c r="I4" s="5" t="s">
        <v>77</v>
      </c>
      <c r="J4" s="5" t="s">
        <v>58</v>
      </c>
      <c r="K4" s="5" t="s">
        <v>79</v>
      </c>
      <c r="L4" s="5" t="s">
        <v>81</v>
      </c>
      <c r="M4" s="5" t="s">
        <v>83</v>
      </c>
      <c r="N4" s="5" t="s">
        <v>38</v>
      </c>
      <c r="O4" s="5" t="s">
        <v>88</v>
      </c>
      <c r="P4" s="5" t="s">
        <v>89</v>
      </c>
      <c r="Q4" s="5" t="s">
        <v>91</v>
      </c>
      <c r="R4" s="5" t="s">
        <v>92</v>
      </c>
      <c r="S4" s="5" t="s">
        <v>46</v>
      </c>
    </row>
    <row r="5" ht="22.5" customHeight="1">
      <c r="A5" s="5" t="s">
        <v>20</v>
      </c>
      <c r="B5" s="6">
        <v>2.0</v>
      </c>
      <c r="C5" s="6" t="s">
        <v>21</v>
      </c>
      <c r="D5" s="5">
        <f>ROUND(YEARFRAC("01.11.2024","05.08.2025",1),1)</f>
        <v>0.8</v>
      </c>
      <c r="E5" s="6" t="s">
        <v>22</v>
      </c>
      <c r="F5" s="6">
        <v>0.0</v>
      </c>
      <c r="G5" s="7" t="s">
        <v>95</v>
      </c>
      <c r="H5" s="5" t="s">
        <v>97</v>
      </c>
      <c r="I5" s="5" t="s">
        <v>98</v>
      </c>
      <c r="J5" s="5" t="s">
        <v>99</v>
      </c>
      <c r="K5" s="5" t="s">
        <v>101</v>
      </c>
      <c r="L5" s="5" t="s">
        <v>103</v>
      </c>
      <c r="M5" s="5" t="s">
        <v>105</v>
      </c>
      <c r="N5" s="5" t="s">
        <v>38</v>
      </c>
      <c r="O5" s="5" t="s">
        <v>108</v>
      </c>
      <c r="P5" s="5" t="s">
        <v>110</v>
      </c>
      <c r="Q5" s="5" t="s">
        <v>112</v>
      </c>
      <c r="R5" s="5" t="s">
        <v>114</v>
      </c>
      <c r="S5" s="5" t="s">
        <v>46</v>
      </c>
    </row>
    <row r="6" ht="22.5" customHeight="1">
      <c r="A6" s="5" t="s">
        <v>20</v>
      </c>
      <c r="B6" s="6">
        <v>2.0</v>
      </c>
      <c r="C6" s="6" t="s">
        <v>21</v>
      </c>
      <c r="D6" s="5">
        <f>ROUND(YEARFRAC("01.11.2024","13.11.2025",1),1)</f>
        <v>1</v>
      </c>
      <c r="E6" s="6" t="s">
        <v>22</v>
      </c>
      <c r="F6" s="6">
        <v>38.0</v>
      </c>
      <c r="G6" s="7" t="s">
        <v>118</v>
      </c>
      <c r="H6" s="5" t="s">
        <v>120</v>
      </c>
      <c r="I6" s="5" t="s">
        <v>122</v>
      </c>
      <c r="J6" s="5" t="s">
        <v>123</v>
      </c>
      <c r="K6" s="5" t="s">
        <v>125</v>
      </c>
      <c r="L6" s="5" t="s">
        <v>127</v>
      </c>
      <c r="M6" s="5" t="s">
        <v>129</v>
      </c>
      <c r="N6" s="5" t="s">
        <v>38</v>
      </c>
      <c r="O6" s="5" t="s">
        <v>132</v>
      </c>
      <c r="P6" s="5" t="s">
        <v>134</v>
      </c>
      <c r="Q6" s="5" t="s">
        <v>136</v>
      </c>
      <c r="R6" s="5" t="s">
        <v>138</v>
      </c>
      <c r="S6" s="5" t="s">
        <v>66</v>
      </c>
    </row>
    <row r="7" ht="22.5" customHeight="1">
      <c r="A7" s="5" t="s">
        <v>20</v>
      </c>
      <c r="B7" s="6">
        <v>2.0</v>
      </c>
      <c r="C7" s="6" t="s">
        <v>21</v>
      </c>
      <c r="D7" s="5">
        <f>ROUND(YEARFRAC("01.11.2024",TODAY(),1),1)</f>
        <v>2</v>
      </c>
      <c r="E7" s="6" t="s">
        <v>21</v>
      </c>
      <c r="F7" s="6">
        <v>317.0</v>
      </c>
      <c r="G7" s="7" t="s">
        <v>139</v>
      </c>
      <c r="H7" s="5" t="s">
        <v>141</v>
      </c>
      <c r="I7" s="5" t="s">
        <v>143</v>
      </c>
      <c r="J7" s="5" t="s">
        <v>32</v>
      </c>
      <c r="K7" s="5" t="s">
        <v>147</v>
      </c>
      <c r="L7" s="5" t="s">
        <v>149</v>
      </c>
      <c r="M7" s="5" t="s">
        <v>151</v>
      </c>
      <c r="N7" s="9"/>
      <c r="O7" s="5" t="s">
        <v>155</v>
      </c>
      <c r="P7" s="5" t="s">
        <v>157</v>
      </c>
      <c r="Q7" s="5" t="s">
        <v>160</v>
      </c>
      <c r="R7" s="5" t="s">
        <v>161</v>
      </c>
      <c r="S7" s="5" t="s">
        <v>46</v>
      </c>
    </row>
    <row r="8" ht="22.5" customHeight="1">
      <c r="A8" s="5" t="s">
        <v>20</v>
      </c>
      <c r="B8" s="6">
        <v>2.0</v>
      </c>
      <c r="C8" s="6" t="s">
        <v>21</v>
      </c>
      <c r="D8" s="5">
        <f>ROUND(YEARFRAC("01.11.2024","31.03.2026",1),1)</f>
        <v>1.4</v>
      </c>
      <c r="E8" s="6" t="s">
        <v>22</v>
      </c>
      <c r="F8" s="6">
        <v>11.0</v>
      </c>
      <c r="G8" s="7" t="s">
        <v>164</v>
      </c>
      <c r="H8" s="5" t="s">
        <v>28</v>
      </c>
      <c r="I8" s="5" t="s">
        <v>165</v>
      </c>
      <c r="J8" s="5" t="s">
        <v>167</v>
      </c>
      <c r="K8" s="5" t="s">
        <v>169</v>
      </c>
      <c r="L8" s="5" t="s">
        <v>171</v>
      </c>
      <c r="M8" s="5" t="s">
        <v>173</v>
      </c>
      <c r="N8" s="5" t="s">
        <v>174</v>
      </c>
      <c r="O8" s="5" t="s">
        <v>154</v>
      </c>
      <c r="P8" s="5" t="s">
        <v>177</v>
      </c>
      <c r="Q8" s="5" t="s">
        <v>179</v>
      </c>
      <c r="R8" s="5" t="s">
        <v>180</v>
      </c>
      <c r="S8" s="5" t="s">
        <v>48</v>
      </c>
    </row>
    <row r="9" ht="22.5" customHeight="1">
      <c r="A9" s="5" t="s">
        <v>20</v>
      </c>
      <c r="B9" s="6">
        <v>3.0</v>
      </c>
      <c r="C9" s="6" t="s">
        <v>21</v>
      </c>
      <c r="D9" s="5">
        <f>ROUND(YEARFRAC("01.11.2024",TODAY(),1),1)</f>
        <v>2</v>
      </c>
      <c r="E9" s="6" t="s">
        <v>21</v>
      </c>
      <c r="F9" s="6">
        <v>41.0</v>
      </c>
      <c r="G9" s="7" t="s">
        <v>183</v>
      </c>
      <c r="H9" s="5" t="s">
        <v>185</v>
      </c>
      <c r="I9" s="5" t="s">
        <v>35</v>
      </c>
      <c r="J9" s="5" t="s">
        <v>188</v>
      </c>
      <c r="K9" s="5" t="s">
        <v>31</v>
      </c>
      <c r="L9" s="5" t="s">
        <v>191</v>
      </c>
      <c r="M9" s="5" t="s">
        <v>192</v>
      </c>
      <c r="N9" s="5" t="s">
        <v>38</v>
      </c>
      <c r="O9" s="5" t="s">
        <v>195</v>
      </c>
      <c r="P9" s="5" t="s">
        <v>198</v>
      </c>
      <c r="Q9" s="5" t="s">
        <v>199</v>
      </c>
      <c r="R9" s="5" t="s">
        <v>200</v>
      </c>
      <c r="S9" s="5" t="s">
        <v>48</v>
      </c>
    </row>
    <row r="10" ht="22.5" customHeight="1">
      <c r="A10" s="5" t="s">
        <v>201</v>
      </c>
      <c r="B10" s="13">
        <v>2.0</v>
      </c>
      <c r="C10" s="13" t="s">
        <v>21</v>
      </c>
      <c r="D10" s="16">
        <f>ROUND(YEARFRAC("01.11.2024","13.11.2025",1),1)</f>
        <v>1</v>
      </c>
      <c r="E10" s="13" t="s">
        <v>22</v>
      </c>
      <c r="F10" s="13">
        <v>7.0</v>
      </c>
      <c r="G10" s="7" t="s">
        <v>206</v>
      </c>
      <c r="H10" s="5" t="s">
        <v>28</v>
      </c>
      <c r="I10" s="5" t="s">
        <v>96</v>
      </c>
      <c r="J10" s="5" t="s">
        <v>209</v>
      </c>
      <c r="K10" s="5" t="s">
        <v>211</v>
      </c>
      <c r="L10" s="5" t="s">
        <v>213</v>
      </c>
      <c r="M10" s="5" t="s">
        <v>216</v>
      </c>
      <c r="N10" s="5" t="s">
        <v>38</v>
      </c>
      <c r="O10" s="5" t="s">
        <v>39</v>
      </c>
      <c r="P10" s="5" t="s">
        <v>218</v>
      </c>
      <c r="Q10" s="5" t="s">
        <v>219</v>
      </c>
      <c r="R10" s="5" t="s">
        <v>220</v>
      </c>
      <c r="S10" s="5" t="s">
        <v>46</v>
      </c>
    </row>
    <row r="11" ht="22.5" customHeight="1">
      <c r="A11" s="5" t="s">
        <v>222</v>
      </c>
      <c r="B11" s="6">
        <v>1.0</v>
      </c>
      <c r="C11" s="6" t="s">
        <v>21</v>
      </c>
      <c r="D11" s="5">
        <f>ROUND(YEARFRAC("01.11.2024",TODAY(),1),1)</f>
        <v>2</v>
      </c>
      <c r="E11" s="6" t="s">
        <v>21</v>
      </c>
      <c r="F11" s="6">
        <v>101.0</v>
      </c>
      <c r="G11" s="7" t="s">
        <v>232</v>
      </c>
      <c r="H11" s="5" t="s">
        <v>233</v>
      </c>
      <c r="I11" s="5" t="s">
        <v>234</v>
      </c>
      <c r="J11" s="5" t="s">
        <v>235</v>
      </c>
      <c r="K11" s="5" t="s">
        <v>236</v>
      </c>
      <c r="L11" s="5" t="s">
        <v>237</v>
      </c>
      <c r="M11" s="9"/>
      <c r="N11" s="5" t="s">
        <v>38</v>
      </c>
      <c r="O11" s="5" t="s">
        <v>40</v>
      </c>
      <c r="P11" s="5" t="s">
        <v>240</v>
      </c>
      <c r="Q11" s="5" t="s">
        <v>242</v>
      </c>
      <c r="R11" s="5" t="s">
        <v>244</v>
      </c>
      <c r="S11" s="5" t="s">
        <v>46</v>
      </c>
    </row>
    <row r="12" ht="22.5" customHeight="1">
      <c r="A12" s="5" t="s">
        <v>20</v>
      </c>
      <c r="B12" s="6">
        <v>2.0</v>
      </c>
      <c r="C12" s="6" t="s">
        <v>21</v>
      </c>
      <c r="D12" s="5">
        <f>ROUND(YEARFRAC("01.11.2024","13.11.2025",1),1)</f>
        <v>1</v>
      </c>
      <c r="E12" s="6" t="s">
        <v>22</v>
      </c>
      <c r="F12" s="6">
        <v>15.0</v>
      </c>
      <c r="G12" s="7" t="s">
        <v>252</v>
      </c>
      <c r="H12" s="5" t="s">
        <v>28</v>
      </c>
      <c r="I12" s="5" t="s">
        <v>165</v>
      </c>
      <c r="J12" s="5" t="s">
        <v>253</v>
      </c>
      <c r="K12" s="5" t="s">
        <v>255</v>
      </c>
      <c r="L12" s="5" t="s">
        <v>257</v>
      </c>
      <c r="M12" s="5" t="s">
        <v>259</v>
      </c>
      <c r="N12" s="5" t="s">
        <v>38</v>
      </c>
      <c r="O12" s="5" t="s">
        <v>154</v>
      </c>
      <c r="P12" s="5" t="s">
        <v>261</v>
      </c>
      <c r="Q12" s="5" t="s">
        <v>263</v>
      </c>
      <c r="R12" s="5" t="s">
        <v>265</v>
      </c>
      <c r="S12" s="5" t="s">
        <v>48</v>
      </c>
    </row>
    <row r="13" ht="22.5" customHeight="1">
      <c r="A13" s="5" t="s">
        <v>20</v>
      </c>
      <c r="B13" s="6">
        <v>2.0</v>
      </c>
      <c r="C13" s="6" t="s">
        <v>21</v>
      </c>
      <c r="D13" s="5">
        <f>ROUND(YEARFRAC("01.11.2024","12.01.2026",1),1)</f>
        <v>1.2</v>
      </c>
      <c r="E13" s="5" t="s">
        <v>22</v>
      </c>
      <c r="F13" s="6">
        <v>3.0</v>
      </c>
      <c r="G13" s="7" t="s">
        <v>270</v>
      </c>
      <c r="H13" s="5" t="s">
        <v>271</v>
      </c>
      <c r="I13" s="5" t="s">
        <v>272</v>
      </c>
      <c r="J13" s="5" t="s">
        <v>273</v>
      </c>
      <c r="K13" s="5" t="s">
        <v>275</v>
      </c>
      <c r="L13" s="5" t="s">
        <v>277</v>
      </c>
      <c r="M13" s="5" t="s">
        <v>279</v>
      </c>
      <c r="N13" s="5" t="s">
        <v>38</v>
      </c>
      <c r="O13" s="5" t="s">
        <v>281</v>
      </c>
      <c r="P13" s="5" t="s">
        <v>283</v>
      </c>
      <c r="Q13" s="5" t="s">
        <v>284</v>
      </c>
      <c r="R13" s="5" t="s">
        <v>286</v>
      </c>
      <c r="S13" s="5" t="s">
        <v>287</v>
      </c>
    </row>
    <row r="14" ht="22.5" customHeight="1">
      <c r="A14" s="5" t="s">
        <v>20</v>
      </c>
      <c r="B14" s="13">
        <v>2.0</v>
      </c>
      <c r="C14" s="13" t="s">
        <v>21</v>
      </c>
      <c r="D14" s="16">
        <f>ROUND(YEARFRAC("01.11.2024",TODAY(),1),1)</f>
        <v>2</v>
      </c>
      <c r="E14" s="13" t="s">
        <v>21</v>
      </c>
      <c r="F14" s="13">
        <v>180.0</v>
      </c>
      <c r="G14" s="15" t="s">
        <v>293</v>
      </c>
      <c r="H14" s="16" t="s">
        <v>294</v>
      </c>
      <c r="I14" s="16" t="s">
        <v>295</v>
      </c>
      <c r="J14" s="16" t="s">
        <v>32</v>
      </c>
      <c r="K14" s="16" t="s">
        <v>31</v>
      </c>
      <c r="L14" s="16" t="s">
        <v>297</v>
      </c>
      <c r="M14" s="16" t="s">
        <v>300</v>
      </c>
      <c r="N14" s="17"/>
      <c r="O14" s="16" t="s">
        <v>304</v>
      </c>
      <c r="P14" s="16" t="s">
        <v>305</v>
      </c>
      <c r="Q14" s="16" t="s">
        <v>307</v>
      </c>
      <c r="R14" s="16" t="s">
        <v>309</v>
      </c>
      <c r="S14" s="16" t="s">
        <v>46</v>
      </c>
    </row>
    <row r="15" ht="22.5" customHeight="1">
      <c r="A15" s="5" t="s">
        <v>20</v>
      </c>
      <c r="B15" s="6">
        <v>2.0</v>
      </c>
      <c r="C15" s="6" t="s">
        <v>22</v>
      </c>
      <c r="D15" s="5" t="s">
        <v>22</v>
      </c>
      <c r="E15" s="5" t="s">
        <v>22</v>
      </c>
      <c r="F15" s="6" t="s">
        <v>22</v>
      </c>
      <c r="G15" s="7" t="s">
        <v>314</v>
      </c>
      <c r="H15" s="5" t="s">
        <v>294</v>
      </c>
      <c r="I15" s="5" t="s">
        <v>315</v>
      </c>
      <c r="J15" s="5" t="s">
        <v>253</v>
      </c>
      <c r="K15" s="5" t="s">
        <v>316</v>
      </c>
      <c r="L15" s="5" t="s">
        <v>317</v>
      </c>
      <c r="M15" s="5" t="s">
        <v>319</v>
      </c>
      <c r="N15" s="5" t="s">
        <v>38</v>
      </c>
      <c r="O15" s="5" t="s">
        <v>321</v>
      </c>
      <c r="P15" s="5" t="s">
        <v>322</v>
      </c>
      <c r="Q15" s="5" t="s">
        <v>323</v>
      </c>
      <c r="R15" s="5" t="s">
        <v>324</v>
      </c>
      <c r="S15" s="5" t="s">
        <v>48</v>
      </c>
    </row>
    <row r="16" ht="22.5" customHeight="1">
      <c r="A16" s="5" t="s">
        <v>20</v>
      </c>
      <c r="B16" s="13">
        <v>2.0</v>
      </c>
      <c r="C16" s="13" t="s">
        <v>21</v>
      </c>
      <c r="D16" s="16">
        <f>ROUND(YEARFRAC("01.11.2024","13.11.2025",1),1)</f>
        <v>1</v>
      </c>
      <c r="E16" s="16" t="s">
        <v>22</v>
      </c>
      <c r="F16" s="13">
        <v>4.0</v>
      </c>
      <c r="G16" s="15" t="s">
        <v>331</v>
      </c>
      <c r="H16" s="16" t="s">
        <v>332</v>
      </c>
      <c r="I16" s="16" t="s">
        <v>333</v>
      </c>
      <c r="J16" s="19" t="s">
        <v>99</v>
      </c>
      <c r="K16" s="16" t="s">
        <v>334</v>
      </c>
      <c r="L16" s="16" t="s">
        <v>335</v>
      </c>
      <c r="M16" s="17"/>
      <c r="N16" s="16" t="s">
        <v>38</v>
      </c>
      <c r="O16" s="16" t="s">
        <v>289</v>
      </c>
      <c r="P16" s="5" t="s">
        <v>339</v>
      </c>
      <c r="Q16" s="16" t="s">
        <v>340</v>
      </c>
      <c r="R16" s="16" t="s">
        <v>343</v>
      </c>
      <c r="S16" s="5" t="s">
        <v>48</v>
      </c>
    </row>
    <row r="17" ht="22.5" customHeight="1">
      <c r="A17" s="5" t="s">
        <v>49</v>
      </c>
      <c r="B17" s="6">
        <v>2.0</v>
      </c>
      <c r="C17" s="6" t="s">
        <v>21</v>
      </c>
      <c r="D17" s="5">
        <f>ROUND(YEARFRAC("01.11.2024",TODAY(),1),1)</f>
        <v>2</v>
      </c>
      <c r="E17" s="5" t="s">
        <v>21</v>
      </c>
      <c r="F17" s="6">
        <v>98.0</v>
      </c>
      <c r="G17" s="7" t="s">
        <v>349</v>
      </c>
      <c r="H17" s="5" t="s">
        <v>350</v>
      </c>
      <c r="I17" s="5" t="s">
        <v>351</v>
      </c>
      <c r="J17" s="5" t="s">
        <v>353</v>
      </c>
      <c r="K17" s="5" t="s">
        <v>355</v>
      </c>
      <c r="L17" s="5" t="s">
        <v>357</v>
      </c>
      <c r="M17" s="5" t="s">
        <v>359</v>
      </c>
      <c r="N17" s="5" t="s">
        <v>360</v>
      </c>
      <c r="O17" s="5" t="s">
        <v>363</v>
      </c>
      <c r="P17" s="5" t="s">
        <v>365</v>
      </c>
      <c r="Q17" s="5" t="s">
        <v>366</v>
      </c>
      <c r="R17" s="5" t="s">
        <v>367</v>
      </c>
      <c r="S17" s="5" t="s">
        <v>66</v>
      </c>
    </row>
    <row r="18" ht="22.5" customHeight="1">
      <c r="A18" s="20" t="s">
        <v>20</v>
      </c>
      <c r="B18" s="21">
        <v>2.0</v>
      </c>
      <c r="C18" s="21" t="s">
        <v>22</v>
      </c>
      <c r="D18" s="22" t="s">
        <v>22</v>
      </c>
      <c r="E18" s="22" t="s">
        <v>22</v>
      </c>
      <c r="F18" s="21" t="s">
        <v>22</v>
      </c>
      <c r="G18" s="23" t="s">
        <v>373</v>
      </c>
      <c r="H18" s="24" t="s">
        <v>28</v>
      </c>
      <c r="I18" s="24" t="s">
        <v>96</v>
      </c>
      <c r="J18" s="24" t="s">
        <v>32</v>
      </c>
      <c r="K18" s="24" t="s">
        <v>100</v>
      </c>
      <c r="L18" s="24" t="s">
        <v>381</v>
      </c>
      <c r="M18" s="25" t="s">
        <v>382</v>
      </c>
      <c r="N18" s="24" t="s">
        <v>38</v>
      </c>
      <c r="O18" s="26" t="s">
        <v>304</v>
      </c>
      <c r="P18" s="24" t="s">
        <v>385</v>
      </c>
      <c r="Q18" s="24" t="s">
        <v>387</v>
      </c>
      <c r="R18" s="24" t="s">
        <v>388</v>
      </c>
      <c r="S18" s="24" t="s">
        <v>48</v>
      </c>
    </row>
    <row r="19" ht="22.5" customHeight="1">
      <c r="A19" s="18"/>
      <c r="B19" s="6">
        <v>3.0</v>
      </c>
      <c r="C19" s="6" t="s">
        <v>21</v>
      </c>
      <c r="D19" s="5">
        <f>ROUND(YEARFRAC("01.11.2024","05.08.2025",1),1)</f>
        <v>0.8</v>
      </c>
      <c r="E19" s="5" t="s">
        <v>22</v>
      </c>
      <c r="F19" s="6">
        <v>0.0</v>
      </c>
      <c r="G19" s="7" t="s">
        <v>394</v>
      </c>
      <c r="H19" s="5" t="s">
        <v>294</v>
      </c>
      <c r="I19" s="5" t="s">
        <v>396</v>
      </c>
      <c r="J19" s="5" t="s">
        <v>32</v>
      </c>
      <c r="K19" s="5" t="s">
        <v>399</v>
      </c>
      <c r="L19" s="5" t="s">
        <v>400</v>
      </c>
      <c r="M19" s="9"/>
      <c r="N19" s="5" t="s">
        <v>38</v>
      </c>
      <c r="O19" s="5" t="s">
        <v>403</v>
      </c>
      <c r="P19" s="5" t="s">
        <v>405</v>
      </c>
      <c r="Q19" s="5" t="s">
        <v>406</v>
      </c>
      <c r="R19" s="5" t="s">
        <v>407</v>
      </c>
      <c r="S19" s="5" t="s">
        <v>408</v>
      </c>
    </row>
    <row r="20" ht="22.5" customHeight="1">
      <c r="A20" s="5" t="s">
        <v>20</v>
      </c>
      <c r="B20" s="6">
        <v>2.0</v>
      </c>
      <c r="C20" s="6" t="s">
        <v>21</v>
      </c>
      <c r="D20" s="5">
        <f>ROUND(YEARFRAC("01.11.2024",TODAY(),1),1)</f>
        <v>2</v>
      </c>
      <c r="E20" s="5" t="s">
        <v>21</v>
      </c>
      <c r="F20" s="6">
        <v>13.0</v>
      </c>
      <c r="G20" s="7" t="s">
        <v>413</v>
      </c>
      <c r="H20" s="5" t="s">
        <v>271</v>
      </c>
      <c r="I20" s="5" t="s">
        <v>415</v>
      </c>
      <c r="J20" s="5" t="s">
        <v>30</v>
      </c>
      <c r="K20" s="5" t="s">
        <v>417</v>
      </c>
      <c r="L20" s="5" t="s">
        <v>418</v>
      </c>
      <c r="M20" s="9"/>
      <c r="N20" s="5" t="s">
        <v>38</v>
      </c>
      <c r="O20" s="5" t="s">
        <v>195</v>
      </c>
      <c r="P20" s="5" t="s">
        <v>421</v>
      </c>
      <c r="Q20" s="5" t="s">
        <v>423</v>
      </c>
      <c r="R20" s="5" t="s">
        <v>424</v>
      </c>
      <c r="S20" s="5" t="s">
        <v>46</v>
      </c>
    </row>
    <row r="21" ht="22.5" customHeight="1">
      <c r="A21" s="5" t="s">
        <v>20</v>
      </c>
      <c r="B21" s="6">
        <v>2.0</v>
      </c>
      <c r="C21" s="6" t="s">
        <v>22</v>
      </c>
      <c r="D21" s="5" t="s">
        <v>22</v>
      </c>
      <c r="E21" s="5" t="s">
        <v>22</v>
      </c>
      <c r="F21" s="6" t="s">
        <v>22</v>
      </c>
      <c r="G21" s="7" t="s">
        <v>425</v>
      </c>
      <c r="H21" s="5" t="s">
        <v>28</v>
      </c>
      <c r="I21" s="5" t="s">
        <v>96</v>
      </c>
      <c r="J21" s="5" t="s">
        <v>32</v>
      </c>
      <c r="K21" s="5" t="s">
        <v>429</v>
      </c>
      <c r="L21" s="5" t="s">
        <v>430</v>
      </c>
      <c r="M21" s="5" t="s">
        <v>432</v>
      </c>
      <c r="N21" s="5" t="s">
        <v>38</v>
      </c>
      <c r="O21" s="5" t="s">
        <v>435</v>
      </c>
      <c r="P21" s="5" t="s">
        <v>436</v>
      </c>
      <c r="Q21" s="5" t="s">
        <v>437</v>
      </c>
      <c r="R21" s="5" t="s">
        <v>439</v>
      </c>
      <c r="S21" s="5" t="s">
        <v>46</v>
      </c>
    </row>
    <row r="22" ht="22.5" customHeight="1">
      <c r="A22" s="5" t="s">
        <v>20</v>
      </c>
      <c r="B22" s="6">
        <v>2.0</v>
      </c>
      <c r="C22" s="6" t="s">
        <v>22</v>
      </c>
      <c r="D22" s="5" t="s">
        <v>22</v>
      </c>
      <c r="E22" s="5" t="s">
        <v>22</v>
      </c>
      <c r="F22" s="6" t="s">
        <v>22</v>
      </c>
      <c r="G22" s="7" t="s">
        <v>442</v>
      </c>
      <c r="H22" s="5" t="s">
        <v>271</v>
      </c>
      <c r="I22" s="5" t="s">
        <v>77</v>
      </c>
      <c r="J22" s="5" t="s">
        <v>32</v>
      </c>
      <c r="K22" s="5" t="s">
        <v>445</v>
      </c>
      <c r="L22" s="5" t="s">
        <v>447</v>
      </c>
      <c r="M22" s="5" t="s">
        <v>449</v>
      </c>
      <c r="N22" s="5" t="s">
        <v>360</v>
      </c>
      <c r="O22" s="5" t="s">
        <v>451</v>
      </c>
      <c r="P22" s="5" t="s">
        <v>453</v>
      </c>
      <c r="Q22" s="5" t="s">
        <v>455</v>
      </c>
      <c r="R22" s="5" t="s">
        <v>456</v>
      </c>
      <c r="S22" s="5" t="s">
        <v>46</v>
      </c>
    </row>
    <row r="23" ht="22.5" customHeight="1">
      <c r="A23" s="27"/>
      <c r="B23" s="28">
        <v>2.0</v>
      </c>
      <c r="C23" s="28" t="s">
        <v>22</v>
      </c>
      <c r="D23" s="29" t="s">
        <v>22</v>
      </c>
      <c r="E23" s="29" t="s">
        <v>22</v>
      </c>
      <c r="F23" s="29" t="s">
        <v>22</v>
      </c>
      <c r="G23" s="30" t="s">
        <v>461</v>
      </c>
      <c r="H23" s="31" t="s">
        <v>462</v>
      </c>
      <c r="I23" s="31" t="s">
        <v>463</v>
      </c>
      <c r="J23" s="31" t="s">
        <v>464</v>
      </c>
      <c r="K23" s="31" t="s">
        <v>33</v>
      </c>
      <c r="L23" s="31" t="s">
        <v>321</v>
      </c>
      <c r="M23" s="31" t="s">
        <v>465</v>
      </c>
      <c r="N23" s="31" t="s">
        <v>466</v>
      </c>
      <c r="O23" s="31" t="s">
        <v>467</v>
      </c>
      <c r="P23" s="31" t="s">
        <v>468</v>
      </c>
      <c r="Q23" s="31" t="s">
        <v>469</v>
      </c>
      <c r="R23" s="31" t="s">
        <v>470</v>
      </c>
      <c r="S23" s="31" t="s">
        <v>48</v>
      </c>
    </row>
    <row r="24" ht="22.5" customHeight="1">
      <c r="A24" s="18"/>
      <c r="B24" s="6">
        <v>2.0</v>
      </c>
      <c r="C24" s="6" t="s">
        <v>22</v>
      </c>
      <c r="D24" s="5" t="s">
        <v>22</v>
      </c>
      <c r="E24" s="5" t="s">
        <v>22</v>
      </c>
      <c r="F24" s="5" t="s">
        <v>22</v>
      </c>
      <c r="G24" s="7" t="s">
        <v>473</v>
      </c>
      <c r="H24" s="5" t="s">
        <v>28</v>
      </c>
      <c r="I24" s="5" t="s">
        <v>100</v>
      </c>
      <c r="J24" s="5" t="s">
        <v>253</v>
      </c>
      <c r="K24" s="5" t="s">
        <v>475</v>
      </c>
      <c r="L24" s="5" t="s">
        <v>477</v>
      </c>
      <c r="M24" s="5" t="s">
        <v>479</v>
      </c>
      <c r="N24" s="5" t="s">
        <v>38</v>
      </c>
      <c r="O24" s="5" t="s">
        <v>154</v>
      </c>
      <c r="P24" s="5" t="s">
        <v>482</v>
      </c>
      <c r="Q24" s="5" t="s">
        <v>483</v>
      </c>
      <c r="R24" s="5" t="s">
        <v>484</v>
      </c>
      <c r="S24" s="5" t="s">
        <v>46</v>
      </c>
    </row>
    <row r="25" ht="22.5" customHeight="1">
      <c r="A25" s="18"/>
      <c r="B25" s="6">
        <v>2.0</v>
      </c>
      <c r="C25" s="6" t="s">
        <v>22</v>
      </c>
      <c r="D25" s="6" t="s">
        <v>22</v>
      </c>
      <c r="E25" s="5" t="s">
        <v>22</v>
      </c>
      <c r="F25" s="5" t="s">
        <v>22</v>
      </c>
      <c r="G25" s="7" t="s">
        <v>488</v>
      </c>
      <c r="H25" s="5" t="s">
        <v>271</v>
      </c>
      <c r="I25" s="5" t="s">
        <v>333</v>
      </c>
      <c r="J25" s="5" t="s">
        <v>253</v>
      </c>
      <c r="K25" s="5" t="s">
        <v>489</v>
      </c>
      <c r="L25" s="5" t="s">
        <v>490</v>
      </c>
      <c r="M25" s="5" t="s">
        <v>491</v>
      </c>
      <c r="N25" s="5" t="s">
        <v>82</v>
      </c>
      <c r="O25" s="5" t="s">
        <v>40</v>
      </c>
      <c r="P25" s="5" t="s">
        <v>494</v>
      </c>
      <c r="Q25" s="5" t="s">
        <v>495</v>
      </c>
      <c r="R25" s="5" t="s">
        <v>497</v>
      </c>
      <c r="S25" s="5" t="s">
        <v>46</v>
      </c>
    </row>
    <row r="26" ht="22.5" customHeight="1">
      <c r="A26" s="5" t="s">
        <v>20</v>
      </c>
      <c r="B26" s="6">
        <v>2.0</v>
      </c>
      <c r="C26" s="6" t="s">
        <v>22</v>
      </c>
      <c r="D26" s="5" t="s">
        <v>22</v>
      </c>
      <c r="E26" s="5" t="s">
        <v>22</v>
      </c>
      <c r="F26" s="5" t="s">
        <v>22</v>
      </c>
      <c r="G26" s="7" t="s">
        <v>502</v>
      </c>
      <c r="H26" s="5" t="s">
        <v>504</v>
      </c>
      <c r="I26" s="5" t="s">
        <v>506</v>
      </c>
      <c r="J26" s="5" t="s">
        <v>32</v>
      </c>
      <c r="K26" s="5" t="s">
        <v>507</v>
      </c>
      <c r="L26" s="5" t="s">
        <v>508</v>
      </c>
      <c r="M26" s="9"/>
      <c r="N26" s="5" t="s">
        <v>360</v>
      </c>
      <c r="O26" s="5" t="s">
        <v>509</v>
      </c>
      <c r="P26" s="5" t="s">
        <v>510</v>
      </c>
      <c r="Q26" s="5" t="s">
        <v>511</v>
      </c>
      <c r="R26" s="5" t="s">
        <v>512</v>
      </c>
      <c r="S26" s="5" t="s">
        <v>46</v>
      </c>
    </row>
    <row r="27" ht="22.5" customHeight="1">
      <c r="A27" s="5" t="s">
        <v>20</v>
      </c>
      <c r="B27" s="6">
        <v>2.0</v>
      </c>
      <c r="C27" s="6" t="s">
        <v>22</v>
      </c>
      <c r="D27" s="5" t="s">
        <v>22</v>
      </c>
      <c r="E27" s="5" t="s">
        <v>22</v>
      </c>
      <c r="F27" s="5" t="s">
        <v>22</v>
      </c>
      <c r="G27" s="7" t="s">
        <v>513</v>
      </c>
      <c r="H27" s="5" t="s">
        <v>514</v>
      </c>
      <c r="I27" s="5" t="s">
        <v>515</v>
      </c>
      <c r="J27" s="5" t="s">
        <v>99</v>
      </c>
      <c r="K27" s="5" t="s">
        <v>516</v>
      </c>
      <c r="L27" s="5" t="s">
        <v>517</v>
      </c>
      <c r="M27" s="5" t="s">
        <v>518</v>
      </c>
      <c r="N27" s="5" t="s">
        <v>38</v>
      </c>
      <c r="O27" s="5" t="s">
        <v>107</v>
      </c>
      <c r="P27" s="5" t="s">
        <v>519</v>
      </c>
      <c r="Q27" s="5" t="s">
        <v>520</v>
      </c>
      <c r="R27" s="5" t="s">
        <v>521</v>
      </c>
      <c r="S27" s="5" t="s">
        <v>48</v>
      </c>
    </row>
    <row r="28" ht="22.5" customHeight="1">
      <c r="A28" s="5" t="s">
        <v>20</v>
      </c>
      <c r="B28" s="6">
        <v>2.0</v>
      </c>
      <c r="C28" s="6" t="s">
        <v>22</v>
      </c>
      <c r="D28" s="5" t="s">
        <v>22</v>
      </c>
      <c r="E28" s="5" t="s">
        <v>22</v>
      </c>
      <c r="F28" s="5" t="s">
        <v>22</v>
      </c>
      <c r="G28" s="7" t="s">
        <v>522</v>
      </c>
      <c r="H28" s="5" t="s">
        <v>523</v>
      </c>
      <c r="I28" s="5" t="s">
        <v>524</v>
      </c>
      <c r="J28" s="5" t="s">
        <v>525</v>
      </c>
      <c r="K28" s="5" t="s">
        <v>526</v>
      </c>
      <c r="L28" s="5" t="s">
        <v>100</v>
      </c>
      <c r="M28" s="5" t="s">
        <v>527</v>
      </c>
      <c r="N28" s="9"/>
      <c r="O28" s="5" t="s">
        <v>528</v>
      </c>
      <c r="P28" s="5" t="s">
        <v>529</v>
      </c>
      <c r="Q28" s="5" t="s">
        <v>530</v>
      </c>
      <c r="R28" s="5" t="s">
        <v>531</v>
      </c>
      <c r="S28" s="5" t="s">
        <v>66</v>
      </c>
    </row>
    <row r="29" ht="22.5" customHeight="1">
      <c r="A29" s="5" t="s">
        <v>20</v>
      </c>
      <c r="B29" s="6">
        <v>2.0</v>
      </c>
      <c r="C29" s="6" t="s">
        <v>22</v>
      </c>
      <c r="D29" s="5" t="s">
        <v>22</v>
      </c>
      <c r="E29" s="5" t="s">
        <v>22</v>
      </c>
      <c r="F29" s="5" t="s">
        <v>22</v>
      </c>
      <c r="G29" s="7" t="s">
        <v>532</v>
      </c>
      <c r="H29" s="5" t="s">
        <v>28</v>
      </c>
      <c r="I29" s="5" t="s">
        <v>533</v>
      </c>
      <c r="J29" s="5" t="s">
        <v>534</v>
      </c>
      <c r="K29" s="5" t="s">
        <v>535</v>
      </c>
      <c r="L29" s="5" t="s">
        <v>536</v>
      </c>
      <c r="M29" s="5" t="s">
        <v>537</v>
      </c>
      <c r="N29" s="5" t="s">
        <v>538</v>
      </c>
      <c r="O29" s="5" t="s">
        <v>539</v>
      </c>
      <c r="P29" s="5" t="s">
        <v>540</v>
      </c>
      <c r="Q29" s="5" t="s">
        <v>541</v>
      </c>
      <c r="R29" s="5" t="s">
        <v>542</v>
      </c>
      <c r="S29" s="5" t="s">
        <v>46</v>
      </c>
    </row>
    <row r="30" ht="22.5" customHeight="1">
      <c r="A30" s="32" t="s">
        <v>20</v>
      </c>
      <c r="B30" s="6">
        <v>2.0</v>
      </c>
      <c r="C30" s="6" t="s">
        <v>22</v>
      </c>
      <c r="D30" s="5" t="s">
        <v>22</v>
      </c>
      <c r="E30" s="5" t="s">
        <v>22</v>
      </c>
      <c r="F30" s="5" t="s">
        <v>22</v>
      </c>
      <c r="G30" s="7" t="s">
        <v>543</v>
      </c>
      <c r="H30" s="5" t="s">
        <v>204</v>
      </c>
      <c r="I30" s="5" t="s">
        <v>77</v>
      </c>
      <c r="J30" s="5" t="s">
        <v>253</v>
      </c>
      <c r="K30" s="5" t="s">
        <v>544</v>
      </c>
      <c r="L30" s="5" t="s">
        <v>545</v>
      </c>
      <c r="M30" s="5" t="s">
        <v>546</v>
      </c>
      <c r="N30" s="5" t="s">
        <v>38</v>
      </c>
      <c r="O30" s="5" t="s">
        <v>107</v>
      </c>
      <c r="P30" s="5" t="s">
        <v>547</v>
      </c>
      <c r="Q30" s="5" t="s">
        <v>548</v>
      </c>
      <c r="R30" s="5" t="s">
        <v>549</v>
      </c>
      <c r="S30" s="5" t="s">
        <v>66</v>
      </c>
    </row>
    <row r="31" ht="22.5" customHeight="1">
      <c r="A31" s="5" t="s">
        <v>20</v>
      </c>
      <c r="B31" s="6">
        <v>2.0</v>
      </c>
      <c r="C31" s="6" t="s">
        <v>22</v>
      </c>
      <c r="D31" s="5" t="s">
        <v>22</v>
      </c>
      <c r="E31" s="5" t="s">
        <v>22</v>
      </c>
      <c r="F31" s="5" t="s">
        <v>22</v>
      </c>
      <c r="G31" s="7" t="s">
        <v>550</v>
      </c>
      <c r="H31" s="5" t="s">
        <v>551</v>
      </c>
      <c r="I31" s="5" t="s">
        <v>552</v>
      </c>
      <c r="J31" s="5" t="s">
        <v>553</v>
      </c>
      <c r="K31" s="5" t="s">
        <v>554</v>
      </c>
      <c r="L31" s="5" t="s">
        <v>555</v>
      </c>
      <c r="M31" s="9"/>
      <c r="N31" s="9"/>
      <c r="O31" s="1" t="s">
        <v>107</v>
      </c>
      <c r="P31" s="5" t="s">
        <v>556</v>
      </c>
      <c r="Q31" s="5" t="s">
        <v>557</v>
      </c>
      <c r="R31" s="5" t="s">
        <v>558</v>
      </c>
      <c r="S31" s="5" t="s">
        <v>48</v>
      </c>
    </row>
    <row r="32" ht="22.5" customHeight="1">
      <c r="A32" s="5" t="s">
        <v>20</v>
      </c>
      <c r="B32" s="6">
        <v>2.0</v>
      </c>
      <c r="C32" s="6" t="s">
        <v>22</v>
      </c>
      <c r="D32" s="5" t="s">
        <v>22</v>
      </c>
      <c r="E32" s="5" t="s">
        <v>22</v>
      </c>
      <c r="F32" s="5" t="s">
        <v>22</v>
      </c>
      <c r="G32" s="7" t="s">
        <v>559</v>
      </c>
      <c r="H32" s="5" t="s">
        <v>560</v>
      </c>
      <c r="I32" s="5" t="s">
        <v>77</v>
      </c>
      <c r="J32" s="5" t="s">
        <v>253</v>
      </c>
      <c r="K32" s="5" t="s">
        <v>31</v>
      </c>
      <c r="L32" s="5" t="s">
        <v>561</v>
      </c>
      <c r="M32" s="9"/>
      <c r="N32" s="5" t="s">
        <v>38</v>
      </c>
      <c r="O32" s="5" t="s">
        <v>562</v>
      </c>
      <c r="P32" s="5" t="s">
        <v>563</v>
      </c>
      <c r="Q32" s="5" t="s">
        <v>564</v>
      </c>
      <c r="R32" s="5" t="s">
        <v>565</v>
      </c>
      <c r="S32" s="5" t="s">
        <v>48</v>
      </c>
    </row>
    <row r="33" ht="22.5" customHeight="1">
      <c r="A33" s="5" t="s">
        <v>20</v>
      </c>
      <c r="B33" s="6">
        <v>2.0</v>
      </c>
      <c r="C33" s="6" t="s">
        <v>22</v>
      </c>
      <c r="D33" s="5" t="s">
        <v>22</v>
      </c>
      <c r="E33" s="5" t="s">
        <v>22</v>
      </c>
      <c r="F33" s="5" t="s">
        <v>22</v>
      </c>
      <c r="G33" s="7" t="s">
        <v>566</v>
      </c>
      <c r="H33" s="5" t="s">
        <v>271</v>
      </c>
      <c r="I33" s="5" t="s">
        <v>567</v>
      </c>
      <c r="J33" s="5" t="s">
        <v>568</v>
      </c>
      <c r="K33" s="5" t="s">
        <v>569</v>
      </c>
      <c r="L33" s="5" t="s">
        <v>570</v>
      </c>
      <c r="M33" s="5" t="s">
        <v>571</v>
      </c>
      <c r="N33" s="5" t="s">
        <v>572</v>
      </c>
      <c r="O33" s="5" t="s">
        <v>573</v>
      </c>
      <c r="P33" s="5" t="s">
        <v>574</v>
      </c>
      <c r="Q33" s="5" t="s">
        <v>575</v>
      </c>
      <c r="R33" s="5" t="s">
        <v>576</v>
      </c>
      <c r="S33" s="5" t="s">
        <v>66</v>
      </c>
    </row>
    <row r="34" ht="22.5" customHeight="1">
      <c r="A34" s="18"/>
      <c r="B34" s="6">
        <v>1.0</v>
      </c>
      <c r="C34" s="6" t="s">
        <v>22</v>
      </c>
      <c r="D34" s="5" t="s">
        <v>22</v>
      </c>
      <c r="E34" s="5" t="s">
        <v>22</v>
      </c>
      <c r="F34" s="5" t="s">
        <v>22</v>
      </c>
      <c r="G34" s="7" t="s">
        <v>577</v>
      </c>
      <c r="H34" s="5" t="s">
        <v>578</v>
      </c>
      <c r="I34" s="5" t="s">
        <v>77</v>
      </c>
      <c r="J34" s="5" t="s">
        <v>579</v>
      </c>
      <c r="K34" s="5" t="s">
        <v>580</v>
      </c>
      <c r="L34" s="5" t="s">
        <v>581</v>
      </c>
      <c r="M34" s="9"/>
      <c r="N34" s="5" t="s">
        <v>38</v>
      </c>
      <c r="O34" s="5" t="s">
        <v>528</v>
      </c>
      <c r="P34" s="5" t="s">
        <v>582</v>
      </c>
      <c r="Q34" s="5" t="s">
        <v>583</v>
      </c>
      <c r="R34" s="5" t="s">
        <v>584</v>
      </c>
      <c r="S34" s="5" t="s">
        <v>66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5"/>
    <col customWidth="1" min="3" max="3" width="26.38"/>
    <col customWidth="1" min="4" max="4" width="19.38"/>
    <col customWidth="1" min="5" max="6" width="12.75"/>
    <col customWidth="1" min="7" max="7" width="17.5"/>
    <col customWidth="1" min="8" max="8" width="12.75"/>
    <col customWidth="1" min="10" max="13" width="12.75"/>
    <col customWidth="1" min="14" max="14" width="28.88"/>
    <col customWidth="1" min="15" max="15" width="34.0"/>
    <col customWidth="1" min="16" max="16" width="35.38"/>
    <col customWidth="1" min="17" max="17" width="29.5"/>
    <col customWidth="1" min="18" max="18" width="36.63"/>
    <col customWidth="1" min="19" max="19" width="31.5"/>
    <col customWidth="1" min="20" max="20" width="12.75"/>
  </cols>
  <sheetData>
    <row r="1" ht="52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17</v>
      </c>
      <c r="S1" s="4" t="s">
        <v>18</v>
      </c>
      <c r="T1" s="4" t="s">
        <v>19</v>
      </c>
    </row>
    <row r="2" ht="22.5" customHeight="1">
      <c r="A2" s="5" t="s">
        <v>20</v>
      </c>
      <c r="B2" s="6">
        <v>2.0</v>
      </c>
      <c r="C2" s="6" t="s">
        <v>21</v>
      </c>
      <c r="D2" s="5">
        <f>ROUND(YEARFRAC("01.11.2024",TODAY(),1),1)</f>
        <v>2</v>
      </c>
      <c r="E2" s="6" t="s">
        <v>21</v>
      </c>
      <c r="F2" s="6">
        <v>60.0</v>
      </c>
      <c r="G2" s="2" t="s">
        <v>24</v>
      </c>
      <c r="H2" s="7" t="s">
        <v>26</v>
      </c>
      <c r="I2" s="5" t="s">
        <v>28</v>
      </c>
      <c r="J2" s="5" t="s">
        <v>29</v>
      </c>
      <c r="K2" s="5" t="s">
        <v>32</v>
      </c>
      <c r="L2" s="5" t="s">
        <v>33</v>
      </c>
      <c r="M2" s="5" t="s">
        <v>34</v>
      </c>
      <c r="N2" s="5" t="s">
        <v>36</v>
      </c>
      <c r="O2" s="5" t="s">
        <v>38</v>
      </c>
      <c r="P2" s="5" t="s">
        <v>39</v>
      </c>
      <c r="Q2" s="5" t="s">
        <v>41</v>
      </c>
      <c r="R2" s="5" t="s">
        <v>42</v>
      </c>
      <c r="S2" s="5" t="s">
        <v>44</v>
      </c>
      <c r="T2" s="5" t="s">
        <v>46</v>
      </c>
    </row>
    <row r="3" ht="22.5" customHeight="1">
      <c r="A3" s="8" t="s">
        <v>49</v>
      </c>
      <c r="B3" s="6">
        <v>2.0</v>
      </c>
      <c r="C3" s="6" t="s">
        <v>21</v>
      </c>
      <c r="D3" s="5">
        <f>ROUND(YEARFRAC("01.11.2024","31.03.2026",1),1)</f>
        <v>1.4</v>
      </c>
      <c r="E3" s="6" t="s">
        <v>22</v>
      </c>
      <c r="F3" s="6">
        <v>22.0</v>
      </c>
      <c r="G3" s="1" t="s">
        <v>50</v>
      </c>
      <c r="H3" s="7" t="s">
        <v>51</v>
      </c>
      <c r="I3" s="5" t="s">
        <v>28</v>
      </c>
      <c r="J3" s="5" t="s">
        <v>53</v>
      </c>
      <c r="K3" s="5" t="s">
        <v>32</v>
      </c>
      <c r="L3" s="5" t="s">
        <v>56</v>
      </c>
      <c r="M3" s="5" t="s">
        <v>57</v>
      </c>
      <c r="N3" s="9"/>
      <c r="O3" s="5" t="s">
        <v>38</v>
      </c>
      <c r="P3" s="5" t="s">
        <v>39</v>
      </c>
      <c r="Q3" s="5" t="s">
        <v>61</v>
      </c>
      <c r="R3" s="5" t="s">
        <v>63</v>
      </c>
      <c r="S3" s="5" t="s">
        <v>64</v>
      </c>
      <c r="T3" s="5" t="s">
        <v>66</v>
      </c>
    </row>
    <row r="4" ht="22.5" customHeight="1">
      <c r="A4" s="8" t="s">
        <v>20</v>
      </c>
      <c r="B4" s="10">
        <v>2.0</v>
      </c>
      <c r="C4" s="10" t="s">
        <v>21</v>
      </c>
      <c r="D4" s="5">
        <f t="shared" ref="D4:D5" si="1">ROUND(YEARFRAC("01.11.2024","13.11.2025",1),1)</f>
        <v>1</v>
      </c>
      <c r="E4" s="10" t="s">
        <v>21</v>
      </c>
      <c r="F4" s="10">
        <v>18.0</v>
      </c>
      <c r="G4" s="11" t="s">
        <v>70</v>
      </c>
      <c r="H4" s="12" t="s">
        <v>71</v>
      </c>
      <c r="I4" s="8" t="s">
        <v>72</v>
      </c>
      <c r="J4" s="8" t="s">
        <v>74</v>
      </c>
      <c r="K4" s="8" t="s">
        <v>76</v>
      </c>
      <c r="L4" s="8" t="s">
        <v>74</v>
      </c>
      <c r="M4" s="8" t="s">
        <v>78</v>
      </c>
      <c r="N4" s="8" t="s">
        <v>80</v>
      </c>
      <c r="O4" s="8" t="s">
        <v>82</v>
      </c>
      <c r="P4" s="8" t="s">
        <v>84</v>
      </c>
      <c r="Q4" s="8" t="s">
        <v>85</v>
      </c>
      <c r="R4" s="8" t="s">
        <v>86</v>
      </c>
      <c r="S4" s="8" t="s">
        <v>87</v>
      </c>
      <c r="T4" s="8" t="s">
        <v>66</v>
      </c>
    </row>
    <row r="5" ht="22.5" customHeight="1">
      <c r="A5" s="5" t="s">
        <v>90</v>
      </c>
      <c r="B5" s="13">
        <v>2.0</v>
      </c>
      <c r="C5" s="13" t="s">
        <v>21</v>
      </c>
      <c r="D5" s="5">
        <f t="shared" si="1"/>
        <v>1</v>
      </c>
      <c r="E5" s="13" t="s">
        <v>22</v>
      </c>
      <c r="F5" s="13">
        <v>13.0</v>
      </c>
      <c r="G5" s="14" t="s">
        <v>93</v>
      </c>
      <c r="H5" s="15" t="s">
        <v>94</v>
      </c>
      <c r="I5" s="16" t="s">
        <v>28</v>
      </c>
      <c r="J5" s="16" t="s">
        <v>96</v>
      </c>
      <c r="K5" s="16" t="s">
        <v>30</v>
      </c>
      <c r="L5" s="16" t="s">
        <v>100</v>
      </c>
      <c r="M5" s="16" t="s">
        <v>102</v>
      </c>
      <c r="N5" s="16" t="s">
        <v>104</v>
      </c>
      <c r="O5" s="16" t="s">
        <v>106</v>
      </c>
      <c r="P5" s="16" t="s">
        <v>107</v>
      </c>
      <c r="Q5" s="16" t="s">
        <v>109</v>
      </c>
      <c r="R5" s="16" t="s">
        <v>111</v>
      </c>
      <c r="S5" s="16" t="s">
        <v>113</v>
      </c>
      <c r="T5" s="16" t="s">
        <v>66</v>
      </c>
    </row>
    <row r="6" ht="22.5" customHeight="1">
      <c r="A6" s="5" t="s">
        <v>115</v>
      </c>
      <c r="B6" s="6">
        <v>2.0</v>
      </c>
      <c r="C6" s="6" t="s">
        <v>22</v>
      </c>
      <c r="D6" s="6" t="s">
        <v>22</v>
      </c>
      <c r="E6" s="6" t="s">
        <v>22</v>
      </c>
      <c r="F6" s="6" t="s">
        <v>22</v>
      </c>
      <c r="G6" s="1" t="s">
        <v>116</v>
      </c>
      <c r="H6" s="7" t="s">
        <v>117</v>
      </c>
      <c r="I6" s="5" t="s">
        <v>119</v>
      </c>
      <c r="J6" s="5" t="s">
        <v>121</v>
      </c>
      <c r="K6" s="5" t="s">
        <v>30</v>
      </c>
      <c r="L6" s="5" t="s">
        <v>124</v>
      </c>
      <c r="M6" s="5" t="s">
        <v>126</v>
      </c>
      <c r="N6" s="5" t="s">
        <v>128</v>
      </c>
      <c r="O6" s="5" t="s">
        <v>130</v>
      </c>
      <c r="P6" s="5" t="s">
        <v>131</v>
      </c>
      <c r="Q6" s="5" t="s">
        <v>133</v>
      </c>
      <c r="R6" s="5" t="s">
        <v>135</v>
      </c>
      <c r="S6" s="5" t="s">
        <v>137</v>
      </c>
      <c r="T6" s="5" t="s">
        <v>46</v>
      </c>
    </row>
    <row r="7" ht="22.5" customHeight="1">
      <c r="A7" s="5" t="s">
        <v>20</v>
      </c>
      <c r="B7" s="6">
        <v>1.0</v>
      </c>
      <c r="C7" s="6" t="s">
        <v>21</v>
      </c>
      <c r="D7" s="5">
        <f>ROUND(YEARFRAC("01.11.2024",TODAY(),1),1)</f>
        <v>2</v>
      </c>
      <c r="E7" s="6" t="s">
        <v>21</v>
      </c>
      <c r="F7" s="6">
        <v>19.0</v>
      </c>
      <c r="G7" s="1" t="s">
        <v>140</v>
      </c>
      <c r="H7" s="7" t="s">
        <v>142</v>
      </c>
      <c r="I7" s="5" t="s">
        <v>144</v>
      </c>
      <c r="J7" s="5" t="s">
        <v>145</v>
      </c>
      <c r="K7" s="5" t="s">
        <v>146</v>
      </c>
      <c r="L7" s="5" t="s">
        <v>148</v>
      </c>
      <c r="M7" s="5" t="s">
        <v>150</v>
      </c>
      <c r="N7" s="5" t="s">
        <v>152</v>
      </c>
      <c r="O7" s="5" t="s">
        <v>153</v>
      </c>
      <c r="P7" s="5" t="s">
        <v>154</v>
      </c>
      <c r="Q7" s="5" t="s">
        <v>156</v>
      </c>
      <c r="R7" s="5" t="s">
        <v>158</v>
      </c>
      <c r="S7" s="5" t="s">
        <v>159</v>
      </c>
      <c r="T7" s="5" t="s">
        <v>46</v>
      </c>
    </row>
    <row r="8" ht="22.5" customHeight="1">
      <c r="A8" s="5" t="s">
        <v>20</v>
      </c>
      <c r="B8" s="6">
        <v>2.0</v>
      </c>
      <c r="C8" s="6" t="s">
        <v>21</v>
      </c>
      <c r="D8" s="5">
        <f>ROUND(YEARFRAC("01.11.2024","13.11.2025",1),1)</f>
        <v>1</v>
      </c>
      <c r="E8" s="6" t="s">
        <v>22</v>
      </c>
      <c r="F8" s="6">
        <v>23.0</v>
      </c>
      <c r="G8" s="1" t="s">
        <v>162</v>
      </c>
      <c r="H8" s="7" t="s">
        <v>163</v>
      </c>
      <c r="I8" s="5" t="s">
        <v>28</v>
      </c>
      <c r="J8" s="5" t="s">
        <v>96</v>
      </c>
      <c r="K8" s="5" t="s">
        <v>30</v>
      </c>
      <c r="L8" s="5" t="s">
        <v>166</v>
      </c>
      <c r="M8" s="5" t="s">
        <v>168</v>
      </c>
      <c r="N8" s="5" t="s">
        <v>170</v>
      </c>
      <c r="O8" s="5" t="s">
        <v>172</v>
      </c>
      <c r="P8" s="5" t="s">
        <v>154</v>
      </c>
      <c r="Q8" s="5" t="s">
        <v>175</v>
      </c>
      <c r="R8" s="5" t="s">
        <v>176</v>
      </c>
      <c r="S8" s="5" t="s">
        <v>178</v>
      </c>
      <c r="T8" s="5" t="s">
        <v>46</v>
      </c>
    </row>
    <row r="9" ht="22.5" customHeight="1">
      <c r="A9" s="5" t="s">
        <v>20</v>
      </c>
      <c r="B9" s="6">
        <v>3.0</v>
      </c>
      <c r="C9" s="6" t="s">
        <v>21</v>
      </c>
      <c r="D9" s="5">
        <f t="shared" ref="D9:D14" si="2">ROUND(YEARFRAC("01.11.2024",TODAY(),1),1)</f>
        <v>2</v>
      </c>
      <c r="E9" s="6" t="s">
        <v>21</v>
      </c>
      <c r="F9" s="6">
        <v>26.0</v>
      </c>
      <c r="G9" s="1" t="s">
        <v>181</v>
      </c>
      <c r="H9" s="7" t="s">
        <v>182</v>
      </c>
      <c r="I9" s="5" t="s">
        <v>184</v>
      </c>
      <c r="J9" s="5" t="s">
        <v>186</v>
      </c>
      <c r="K9" s="5" t="s">
        <v>187</v>
      </c>
      <c r="L9" s="5" t="s">
        <v>189</v>
      </c>
      <c r="M9" s="5" t="s">
        <v>190</v>
      </c>
      <c r="N9" s="9"/>
      <c r="O9" s="5" t="s">
        <v>38</v>
      </c>
      <c r="P9" s="5" t="s">
        <v>193</v>
      </c>
      <c r="Q9" s="5" t="s">
        <v>194</v>
      </c>
      <c r="R9" s="5" t="s">
        <v>196</v>
      </c>
      <c r="S9" s="5" t="s">
        <v>197</v>
      </c>
      <c r="T9" s="5" t="s">
        <v>48</v>
      </c>
    </row>
    <row r="10" ht="22.5" customHeight="1">
      <c r="A10" s="5" t="s">
        <v>20</v>
      </c>
      <c r="B10" s="6">
        <v>2.0</v>
      </c>
      <c r="C10" s="6" t="s">
        <v>21</v>
      </c>
      <c r="D10" s="5">
        <f t="shared" si="2"/>
        <v>2</v>
      </c>
      <c r="E10" s="6" t="s">
        <v>21</v>
      </c>
      <c r="F10" s="6">
        <v>14.0</v>
      </c>
      <c r="G10" s="1" t="s">
        <v>202</v>
      </c>
      <c r="H10" s="7" t="s">
        <v>203</v>
      </c>
      <c r="I10" s="5" t="s">
        <v>204</v>
      </c>
      <c r="J10" s="5" t="s">
        <v>77</v>
      </c>
      <c r="K10" s="5" t="s">
        <v>30</v>
      </c>
      <c r="L10" s="5" t="s">
        <v>205</v>
      </c>
      <c r="M10" s="5" t="s">
        <v>207</v>
      </c>
      <c r="N10" s="5" t="s">
        <v>208</v>
      </c>
      <c r="O10" s="5" t="s">
        <v>210</v>
      </c>
      <c r="P10" s="5" t="s">
        <v>212</v>
      </c>
      <c r="Q10" s="5" t="s">
        <v>214</v>
      </c>
      <c r="R10" s="5" t="s">
        <v>215</v>
      </c>
      <c r="S10" s="5" t="s">
        <v>217</v>
      </c>
      <c r="T10" s="5" t="s">
        <v>66</v>
      </c>
    </row>
    <row r="11" ht="22.5" customHeight="1">
      <c r="A11" s="5" t="s">
        <v>20</v>
      </c>
      <c r="B11" s="6">
        <v>2.0</v>
      </c>
      <c r="C11" s="6" t="s">
        <v>21</v>
      </c>
      <c r="D11" s="5">
        <f t="shared" si="2"/>
        <v>2</v>
      </c>
      <c r="E11" s="6" t="s">
        <v>21</v>
      </c>
      <c r="F11" s="6">
        <v>69.0</v>
      </c>
      <c r="G11" s="1" t="s">
        <v>221</v>
      </c>
      <c r="H11" s="7" t="s">
        <v>223</v>
      </c>
      <c r="I11" s="5" t="s">
        <v>224</v>
      </c>
      <c r="J11" s="5" t="s">
        <v>225</v>
      </c>
      <c r="K11" s="5" t="s">
        <v>30</v>
      </c>
      <c r="L11" s="5" t="s">
        <v>226</v>
      </c>
      <c r="M11" s="5" t="s">
        <v>227</v>
      </c>
      <c r="N11" s="5" t="s">
        <v>228</v>
      </c>
      <c r="O11" s="5" t="s">
        <v>38</v>
      </c>
      <c r="P11" s="5" t="s">
        <v>39</v>
      </c>
      <c r="Q11" s="5" t="s">
        <v>229</v>
      </c>
      <c r="R11" s="5" t="s">
        <v>230</v>
      </c>
      <c r="S11" s="5" t="s">
        <v>231</v>
      </c>
      <c r="T11" s="5" t="s">
        <v>66</v>
      </c>
    </row>
    <row r="12" ht="22.5" customHeight="1">
      <c r="A12" s="5" t="s">
        <v>20</v>
      </c>
      <c r="B12" s="6">
        <v>1.0</v>
      </c>
      <c r="C12" s="6" t="s">
        <v>21</v>
      </c>
      <c r="D12" s="5">
        <f t="shared" si="2"/>
        <v>2</v>
      </c>
      <c r="E12" s="6" t="s">
        <v>21</v>
      </c>
      <c r="F12" s="6">
        <v>72.0</v>
      </c>
      <c r="G12" s="1" t="s">
        <v>238</v>
      </c>
      <c r="H12" s="7" t="s">
        <v>239</v>
      </c>
      <c r="I12" s="5" t="s">
        <v>241</v>
      </c>
      <c r="J12" s="5" t="s">
        <v>243</v>
      </c>
      <c r="K12" s="5" t="s">
        <v>245</v>
      </c>
      <c r="L12" s="5" t="s">
        <v>246</v>
      </c>
      <c r="M12" s="5" t="s">
        <v>247</v>
      </c>
      <c r="N12" s="9"/>
      <c r="O12" s="9"/>
      <c r="P12" s="5" t="s">
        <v>248</v>
      </c>
      <c r="Q12" s="5" t="s">
        <v>249</v>
      </c>
      <c r="R12" s="5" t="s">
        <v>250</v>
      </c>
      <c r="S12" s="5" t="s">
        <v>251</v>
      </c>
      <c r="T12" s="5" t="s">
        <v>66</v>
      </c>
    </row>
    <row r="13" ht="22.5" customHeight="1">
      <c r="A13" s="5" t="s">
        <v>20</v>
      </c>
      <c r="B13" s="6">
        <v>3.0</v>
      </c>
      <c r="C13" s="6" t="s">
        <v>21</v>
      </c>
      <c r="D13" s="5">
        <f t="shared" si="2"/>
        <v>2</v>
      </c>
      <c r="E13" s="6" t="s">
        <v>21</v>
      </c>
      <c r="F13" s="6">
        <v>30.0</v>
      </c>
      <c r="G13" s="1" t="s">
        <v>254</v>
      </c>
      <c r="H13" s="7" t="s">
        <v>256</v>
      </c>
      <c r="I13" s="5" t="s">
        <v>258</v>
      </c>
      <c r="J13" s="5" t="s">
        <v>260</v>
      </c>
      <c r="K13" s="5" t="s">
        <v>32</v>
      </c>
      <c r="L13" s="5" t="s">
        <v>262</v>
      </c>
      <c r="M13" s="5" t="s">
        <v>264</v>
      </c>
      <c r="N13" s="5" t="s">
        <v>266</v>
      </c>
      <c r="O13" s="9"/>
      <c r="P13" s="5" t="s">
        <v>154</v>
      </c>
      <c r="Q13" s="5" t="s">
        <v>267</v>
      </c>
      <c r="R13" s="5" t="s">
        <v>268</v>
      </c>
      <c r="S13" s="5" t="s">
        <v>269</v>
      </c>
      <c r="T13" s="5" t="s">
        <v>46</v>
      </c>
    </row>
    <row r="14" ht="22.5" customHeight="1">
      <c r="A14" s="5" t="s">
        <v>20</v>
      </c>
      <c r="B14" s="6">
        <v>2.0</v>
      </c>
      <c r="C14" s="6" t="s">
        <v>21</v>
      </c>
      <c r="D14" s="5">
        <f t="shared" si="2"/>
        <v>2</v>
      </c>
      <c r="E14" s="6" t="s">
        <v>21</v>
      </c>
      <c r="F14" s="6">
        <v>38.0</v>
      </c>
      <c r="G14" s="1" t="s">
        <v>274</v>
      </c>
      <c r="H14" s="7" t="s">
        <v>276</v>
      </c>
      <c r="I14" s="5" t="s">
        <v>278</v>
      </c>
      <c r="J14" s="5" t="s">
        <v>280</v>
      </c>
      <c r="K14" s="5" t="s">
        <v>253</v>
      </c>
      <c r="L14" s="5" t="s">
        <v>282</v>
      </c>
      <c r="M14" s="5" t="s">
        <v>285</v>
      </c>
      <c r="N14" s="5" t="s">
        <v>288</v>
      </c>
      <c r="O14" s="9"/>
      <c r="P14" s="5" t="s">
        <v>289</v>
      </c>
      <c r="Q14" s="5" t="s">
        <v>290</v>
      </c>
      <c r="R14" s="5" t="s">
        <v>291</v>
      </c>
      <c r="S14" s="5" t="s">
        <v>292</v>
      </c>
      <c r="T14" s="5" t="s">
        <v>46</v>
      </c>
    </row>
    <row r="15" ht="22.5" customHeight="1">
      <c r="A15" s="5" t="s">
        <v>20</v>
      </c>
      <c r="B15" s="6">
        <v>2.0</v>
      </c>
      <c r="C15" s="6" t="s">
        <v>22</v>
      </c>
      <c r="D15" s="6" t="s">
        <v>22</v>
      </c>
      <c r="E15" s="6" t="s">
        <v>22</v>
      </c>
      <c r="F15" s="6" t="s">
        <v>22</v>
      </c>
      <c r="G15" s="1" t="s">
        <v>296</v>
      </c>
      <c r="H15" s="7" t="s">
        <v>298</v>
      </c>
      <c r="I15" s="5" t="s">
        <v>299</v>
      </c>
      <c r="J15" s="5" t="s">
        <v>301</v>
      </c>
      <c r="K15" s="5" t="s">
        <v>58</v>
      </c>
      <c r="L15" s="5" t="s">
        <v>302</v>
      </c>
      <c r="M15" s="5" t="s">
        <v>303</v>
      </c>
      <c r="N15" s="9"/>
      <c r="O15" s="5" t="s">
        <v>306</v>
      </c>
      <c r="P15" s="5" t="s">
        <v>308</v>
      </c>
      <c r="Q15" s="5" t="s">
        <v>310</v>
      </c>
      <c r="R15" s="5" t="s">
        <v>311</v>
      </c>
      <c r="S15" s="5" t="s">
        <v>312</v>
      </c>
      <c r="T15" s="5" t="s">
        <v>46</v>
      </c>
    </row>
    <row r="16" ht="22.5" customHeight="1">
      <c r="A16" s="5" t="s">
        <v>313</v>
      </c>
      <c r="B16" s="6">
        <v>1.0</v>
      </c>
      <c r="C16" s="6" t="s">
        <v>21</v>
      </c>
      <c r="D16" s="5">
        <f>ROUND(YEARFRAC("01.11.2024",TODAY(),1),1)</f>
        <v>2</v>
      </c>
      <c r="E16" s="6" t="s">
        <v>21</v>
      </c>
      <c r="F16" s="6">
        <v>68.0</v>
      </c>
      <c r="G16" s="1" t="s">
        <v>318</v>
      </c>
      <c r="H16" s="7" t="s">
        <v>320</v>
      </c>
      <c r="I16" s="5" t="s">
        <v>299</v>
      </c>
      <c r="J16" s="5" t="s">
        <v>77</v>
      </c>
      <c r="K16" s="5" t="s">
        <v>30</v>
      </c>
      <c r="L16" s="5" t="s">
        <v>302</v>
      </c>
      <c r="M16" s="5" t="s">
        <v>325</v>
      </c>
      <c r="N16" s="5" t="s">
        <v>326</v>
      </c>
      <c r="O16" s="9"/>
      <c r="P16" s="5" t="s">
        <v>327</v>
      </c>
      <c r="Q16" s="5" t="s">
        <v>328</v>
      </c>
      <c r="R16" s="5" t="s">
        <v>329</v>
      </c>
      <c r="S16" s="5" t="s">
        <v>330</v>
      </c>
      <c r="T16" s="5" t="s">
        <v>48</v>
      </c>
    </row>
    <row r="17" ht="22.5" customHeight="1">
      <c r="A17" s="18"/>
      <c r="B17" s="6">
        <v>1.0</v>
      </c>
      <c r="C17" s="6" t="s">
        <v>22</v>
      </c>
      <c r="D17" s="6" t="s">
        <v>22</v>
      </c>
      <c r="E17" s="6" t="s">
        <v>22</v>
      </c>
      <c r="F17" s="6" t="s">
        <v>22</v>
      </c>
      <c r="G17" s="1" t="s">
        <v>336</v>
      </c>
      <c r="H17" s="7" t="s">
        <v>337</v>
      </c>
      <c r="I17" s="5" t="s">
        <v>271</v>
      </c>
      <c r="J17" s="5" t="s">
        <v>338</v>
      </c>
      <c r="K17" s="5" t="s">
        <v>99</v>
      </c>
      <c r="L17" s="5" t="s">
        <v>341</v>
      </c>
      <c r="M17" s="5" t="s">
        <v>342</v>
      </c>
      <c r="N17" s="5" t="s">
        <v>344</v>
      </c>
      <c r="O17" s="5" t="s">
        <v>38</v>
      </c>
      <c r="P17" s="5" t="s">
        <v>345</v>
      </c>
      <c r="Q17" s="5" t="s">
        <v>346</v>
      </c>
      <c r="R17" s="5" t="s">
        <v>347</v>
      </c>
      <c r="S17" s="5" t="s">
        <v>348</v>
      </c>
      <c r="T17" s="5" t="s">
        <v>46</v>
      </c>
    </row>
    <row r="18" ht="22.5" customHeight="1">
      <c r="A18" s="18"/>
      <c r="B18" s="6">
        <v>1.0</v>
      </c>
      <c r="C18" s="6" t="s">
        <v>22</v>
      </c>
      <c r="D18" s="6" t="s">
        <v>22</v>
      </c>
      <c r="E18" s="6" t="s">
        <v>22</v>
      </c>
      <c r="F18" s="6" t="s">
        <v>22</v>
      </c>
      <c r="G18" s="1" t="s">
        <v>352</v>
      </c>
      <c r="H18" s="7" t="s">
        <v>354</v>
      </c>
      <c r="I18" s="5" t="s">
        <v>356</v>
      </c>
      <c r="J18" s="5" t="s">
        <v>358</v>
      </c>
      <c r="K18" s="5" t="s">
        <v>361</v>
      </c>
      <c r="L18" s="5" t="s">
        <v>362</v>
      </c>
      <c r="M18" s="5" t="s">
        <v>364</v>
      </c>
      <c r="N18" s="9"/>
      <c r="O18" s="9"/>
      <c r="P18" s="5" t="s">
        <v>368</v>
      </c>
      <c r="Q18" s="5" t="s">
        <v>369</v>
      </c>
      <c r="R18" s="5" t="s">
        <v>370</v>
      </c>
      <c r="S18" s="5" t="s">
        <v>371</v>
      </c>
      <c r="T18" s="5" t="s">
        <v>48</v>
      </c>
    </row>
    <row r="19" ht="22.5" customHeight="1">
      <c r="A19" s="5" t="s">
        <v>20</v>
      </c>
      <c r="B19" s="6">
        <v>2.0</v>
      </c>
      <c r="C19" s="6" t="s">
        <v>22</v>
      </c>
      <c r="D19" s="6" t="s">
        <v>22</v>
      </c>
      <c r="E19" s="6" t="s">
        <v>22</v>
      </c>
      <c r="F19" s="6" t="s">
        <v>22</v>
      </c>
      <c r="G19" s="1" t="s">
        <v>372</v>
      </c>
      <c r="H19" s="7" t="s">
        <v>374</v>
      </c>
      <c r="I19" s="5" t="s">
        <v>375</v>
      </c>
      <c r="J19" s="5" t="s">
        <v>376</v>
      </c>
      <c r="K19" s="5" t="s">
        <v>377</v>
      </c>
      <c r="L19" s="5" t="s">
        <v>378</v>
      </c>
      <c r="M19" s="5" t="s">
        <v>379</v>
      </c>
      <c r="N19" s="5" t="s">
        <v>380</v>
      </c>
      <c r="O19" s="5" t="s">
        <v>38</v>
      </c>
      <c r="P19" s="5" t="s">
        <v>154</v>
      </c>
      <c r="Q19" s="5" t="s">
        <v>383</v>
      </c>
      <c r="R19" s="5" t="s">
        <v>384</v>
      </c>
      <c r="S19" s="5" t="s">
        <v>386</v>
      </c>
      <c r="T19" s="5" t="s">
        <v>389</v>
      </c>
    </row>
    <row r="20" ht="22.5" customHeight="1">
      <c r="A20" s="18"/>
      <c r="B20" s="6">
        <v>2.0</v>
      </c>
      <c r="C20" s="6" t="s">
        <v>22</v>
      </c>
      <c r="D20" s="6" t="s">
        <v>22</v>
      </c>
      <c r="E20" s="6" t="s">
        <v>22</v>
      </c>
      <c r="F20" s="6" t="s">
        <v>22</v>
      </c>
      <c r="G20" s="1" t="s">
        <v>390</v>
      </c>
      <c r="H20" s="7" t="s">
        <v>391</v>
      </c>
      <c r="I20" s="5" t="s">
        <v>392</v>
      </c>
      <c r="J20" s="5" t="s">
        <v>393</v>
      </c>
      <c r="K20" s="5" t="s">
        <v>32</v>
      </c>
      <c r="L20" s="5" t="s">
        <v>395</v>
      </c>
      <c r="M20" s="5" t="s">
        <v>397</v>
      </c>
      <c r="N20" s="5" t="s">
        <v>398</v>
      </c>
      <c r="O20" s="9"/>
      <c r="P20" s="5" t="s">
        <v>289</v>
      </c>
      <c r="Q20" s="5" t="s">
        <v>401</v>
      </c>
      <c r="R20" s="5" t="s">
        <v>402</v>
      </c>
      <c r="S20" s="5" t="s">
        <v>404</v>
      </c>
      <c r="T20" s="5" t="s">
        <v>46</v>
      </c>
    </row>
    <row r="21" ht="22.5" customHeight="1">
      <c r="A21" s="18"/>
      <c r="B21" s="6">
        <v>1.0</v>
      </c>
      <c r="C21" s="6" t="s">
        <v>22</v>
      </c>
      <c r="D21" s="6" t="s">
        <v>22</v>
      </c>
      <c r="E21" s="6" t="s">
        <v>22</v>
      </c>
      <c r="F21" s="6" t="s">
        <v>22</v>
      </c>
      <c r="G21" s="1" t="s">
        <v>409</v>
      </c>
      <c r="H21" s="7" t="s">
        <v>410</v>
      </c>
      <c r="I21" s="5" t="s">
        <v>411</v>
      </c>
      <c r="J21" s="5" t="s">
        <v>412</v>
      </c>
      <c r="K21" s="5" t="s">
        <v>99</v>
      </c>
      <c r="L21" s="5" t="s">
        <v>414</v>
      </c>
      <c r="M21" s="5" t="s">
        <v>416</v>
      </c>
      <c r="N21" s="9"/>
      <c r="O21" s="5" t="s">
        <v>38</v>
      </c>
      <c r="P21" s="5" t="s">
        <v>40</v>
      </c>
      <c r="Q21" s="5" t="s">
        <v>419</v>
      </c>
      <c r="R21" s="5" t="s">
        <v>420</v>
      </c>
      <c r="S21" s="5" t="s">
        <v>422</v>
      </c>
      <c r="T21" s="5" t="s">
        <v>46</v>
      </c>
    </row>
    <row r="22" ht="22.5" customHeight="1">
      <c r="A22" s="18"/>
      <c r="B22" s="6">
        <v>2.0</v>
      </c>
      <c r="C22" s="6" t="s">
        <v>22</v>
      </c>
      <c r="D22" s="6" t="s">
        <v>22</v>
      </c>
      <c r="E22" s="6" t="s">
        <v>22</v>
      </c>
      <c r="F22" s="6" t="s">
        <v>22</v>
      </c>
      <c r="G22" s="1" t="s">
        <v>426</v>
      </c>
      <c r="H22" s="7" t="s">
        <v>427</v>
      </c>
      <c r="I22" s="5" t="s">
        <v>278</v>
      </c>
      <c r="J22" s="5" t="s">
        <v>428</v>
      </c>
      <c r="K22" s="5" t="s">
        <v>32</v>
      </c>
      <c r="L22" s="5" t="s">
        <v>431</v>
      </c>
      <c r="M22" s="5" t="s">
        <v>433</v>
      </c>
      <c r="N22" s="5" t="s">
        <v>434</v>
      </c>
      <c r="O22" s="5" t="s">
        <v>38</v>
      </c>
      <c r="P22" s="5" t="s">
        <v>39</v>
      </c>
      <c r="Q22" s="5" t="s">
        <v>438</v>
      </c>
      <c r="R22" s="5" t="s">
        <v>440</v>
      </c>
      <c r="S22" s="5" t="s">
        <v>441</v>
      </c>
      <c r="T22" s="5" t="s">
        <v>48</v>
      </c>
    </row>
    <row r="23" ht="22.5" customHeight="1">
      <c r="A23" s="5" t="s">
        <v>20</v>
      </c>
      <c r="B23" s="6">
        <v>1.0</v>
      </c>
      <c r="C23" s="6" t="s">
        <v>22</v>
      </c>
      <c r="D23" s="6" t="s">
        <v>22</v>
      </c>
      <c r="E23" s="6" t="s">
        <v>22</v>
      </c>
      <c r="F23" s="6" t="s">
        <v>22</v>
      </c>
      <c r="G23" s="1" t="s">
        <v>443</v>
      </c>
      <c r="H23" s="7" t="s">
        <v>444</v>
      </c>
      <c r="I23" s="5" t="s">
        <v>446</v>
      </c>
      <c r="J23" s="5" t="s">
        <v>448</v>
      </c>
      <c r="K23" s="5" t="s">
        <v>450</v>
      </c>
      <c r="L23" s="5" t="s">
        <v>452</v>
      </c>
      <c r="M23" s="5" t="s">
        <v>454</v>
      </c>
      <c r="N23" s="5" t="s">
        <v>457</v>
      </c>
      <c r="O23" s="9"/>
      <c r="P23" s="5" t="s">
        <v>39</v>
      </c>
      <c r="Q23" s="5" t="s">
        <v>458</v>
      </c>
      <c r="R23" s="5" t="s">
        <v>459</v>
      </c>
      <c r="S23" s="5" t="s">
        <v>460</v>
      </c>
      <c r="T23" s="5" t="s">
        <v>46</v>
      </c>
    </row>
    <row r="24" ht="22.5" customHeight="1">
      <c r="A24" s="18"/>
      <c r="B24" s="6">
        <v>1.0</v>
      </c>
      <c r="C24" s="6" t="s">
        <v>22</v>
      </c>
      <c r="D24" s="6" t="s">
        <v>22</v>
      </c>
      <c r="E24" s="6" t="s">
        <v>22</v>
      </c>
      <c r="F24" s="6" t="s">
        <v>22</v>
      </c>
      <c r="G24" s="1" t="s">
        <v>471</v>
      </c>
      <c r="H24" s="7" t="s">
        <v>472</v>
      </c>
      <c r="I24" s="5" t="s">
        <v>474</v>
      </c>
      <c r="J24" s="5" t="s">
        <v>234</v>
      </c>
      <c r="K24" s="5" t="s">
        <v>476</v>
      </c>
      <c r="L24" s="5" t="s">
        <v>478</v>
      </c>
      <c r="M24" s="5" t="s">
        <v>480</v>
      </c>
      <c r="N24" s="5" t="s">
        <v>481</v>
      </c>
      <c r="O24" s="9"/>
      <c r="P24" s="5" t="s">
        <v>40</v>
      </c>
      <c r="Q24" s="5" t="s">
        <v>485</v>
      </c>
      <c r="R24" s="5" t="s">
        <v>486</v>
      </c>
      <c r="S24" s="5" t="s">
        <v>487</v>
      </c>
      <c r="T24" s="5" t="s">
        <v>46</v>
      </c>
    </row>
    <row r="25" ht="22.5" customHeight="1">
      <c r="A25" s="5" t="s">
        <v>20</v>
      </c>
      <c r="B25" s="6">
        <v>2.0</v>
      </c>
      <c r="C25" s="6" t="s">
        <v>22</v>
      </c>
      <c r="D25" s="6" t="s">
        <v>22</v>
      </c>
      <c r="E25" s="6" t="s">
        <v>22</v>
      </c>
      <c r="F25" s="6" t="s">
        <v>22</v>
      </c>
      <c r="G25" s="1" t="s">
        <v>492</v>
      </c>
      <c r="H25" s="7" t="s">
        <v>493</v>
      </c>
      <c r="I25" s="5" t="s">
        <v>299</v>
      </c>
      <c r="J25" s="5" t="s">
        <v>496</v>
      </c>
      <c r="K25" s="5" t="s">
        <v>30</v>
      </c>
      <c r="L25" s="5" t="s">
        <v>302</v>
      </c>
      <c r="M25" s="5" t="s">
        <v>498</v>
      </c>
      <c r="N25" s="5" t="s">
        <v>499</v>
      </c>
      <c r="O25" s="5" t="s">
        <v>38</v>
      </c>
      <c r="P25" s="5" t="s">
        <v>500</v>
      </c>
      <c r="Q25" s="5" t="s">
        <v>501</v>
      </c>
      <c r="R25" s="5" t="s">
        <v>503</v>
      </c>
      <c r="S25" s="5" t="s">
        <v>505</v>
      </c>
      <c r="T25" s="5" t="s">
        <v>46</v>
      </c>
    </row>
  </sheetData>
  <drawing r:id="rId1"/>
  <tableParts count="1">
    <tablePart r:id="rId3"/>
  </tableParts>
</worksheet>
</file>